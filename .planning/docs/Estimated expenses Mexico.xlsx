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5"/>
    <sheet state="visible" name="September of Totales y Transfer" sheetId="2" r:id="rId6"/>
    <sheet state="visible" name="Deuda" sheetId="3" r:id="rId7"/>
    <sheet state="visible" name="Cuentas" sheetId="4" r:id="rId8"/>
    <sheet state="visible" name="Vacaciones" sheetId="5" r:id="rId9"/>
    <sheet state="visible" name="Gastos Alimentos" sheetId="6" r:id="rId10"/>
    <sheet state="visible" name="Gastos Generales" sheetId="7" r:id="rId11"/>
    <sheet state="visible" name="Gastos WE" sheetId="8" r:id="rId12"/>
    <sheet state="visible" name="Gastos Medicos Menores" sheetId="9" r:id="rId13"/>
    <sheet state="visible" name="Gastos Medicos Mayores" sheetId="10" r:id="rId14"/>
    <sheet state="visible" name="Totales y Transferencias" sheetId="11" r:id="rId15"/>
    <sheet state="hidden" name="Actual" sheetId="12" r:id="rId16"/>
    <sheet state="hidden" name="Gastos Viaje Texas Dec 25" sheetId="13" r:id="rId17"/>
    <sheet state="hidden" name="Until 31.12.2024" sheetId="14" r:id="rId18"/>
    <sheet state="hidden" name="Until 15.05.2024" sheetId="15" r:id="rId19"/>
    <sheet state="hidden" name="Until 31.07.23" sheetId="16" r:id="rId20"/>
    <sheet state="hidden" name="From 15.08.23" sheetId="17" r:id="rId21"/>
    <sheet state="hidden" name="Until 31.07.2024" sheetId="18" r:id="rId22"/>
  </sheets>
  <definedNames>
    <definedName hidden="1" localSheetId="2" name="_xlnm._FilterDatabase">Deuda!$A$3:$G$46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tc={71afef87-9749-4c65-aa31-a6b984d17fe1}</author>
  </authors>
  <commentList>
    <comment authorId="0" xr:uid="{71afef87-9749-4c65-aa31-a6b984d17fe1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Astro Bot
Curso Dalia
Suscripcion playstation
Digital Ocean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tc={1552d428-c1ab-4baf-aed6-fc8abb556b18}</author>
  </authors>
  <commentList>
    <comment authorId="0" xr:uid="{1552d428-c1ab-4baf-aed6-fc8abb556b18}" ref="N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Casa toño Cumple Lena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tc={9475a5e0-3057-4fd7-afda-b462845052bc}</author>
  </authors>
  <commentList>
    <comment authorId="0" xr:uid="{9475a5e0-3057-4fd7-afda-b462845052bc}" ref="E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Liquido plagas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tc={cee5cb61-c3ba-4cd9-93fd-6aa5103217a5}</author>
  </authors>
  <commentList>
    <comment authorId="0" xr:uid="{cee5cb61-c3ba-4cd9-93fd-6aa5103217a5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Prueba Vitamina D
Pato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tc={fb73d0c2-24d7-4eea-9be6-05d3b5c23618}</author>
  </authors>
  <commentList>
    <comment authorId="0" xr:uid="{fb73d0c2-24d7-4eea-9be6-05d3b5c23618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por clase, asumiendo 4 Miercoles por mes
</t>
      </text>
    </comment>
  </commentList>
</comments>
</file>

<file path=xl/sharedStrings.xml><?xml version="1.0" encoding="utf-8"?>
<sst xmlns="http://schemas.openxmlformats.org/spreadsheetml/2006/main" count="2687" uniqueCount="790">
  <si>
    <t>Kids</t>
  </si>
  <si>
    <t>Salario Mensual</t>
  </si>
  <si>
    <t>Salario Quincenal</t>
  </si>
  <si>
    <t>Nombre</t>
  </si>
  <si>
    <t xml:space="preserve">Mensual </t>
  </si>
  <si>
    <t>Quincenal</t>
  </si>
  <si>
    <t>Es Anual</t>
  </si>
  <si>
    <t>Costo Anual</t>
  </si>
  <si>
    <t>Costo Mensual</t>
  </si>
  <si>
    <t>Comentarios</t>
  </si>
  <si>
    <t xml:space="preserve">Cuenta Cargo </t>
  </si>
  <si>
    <t>Cuenta deposito</t>
  </si>
  <si>
    <t>Colegiatura Lena</t>
  </si>
  <si>
    <t>HSBC World elite</t>
  </si>
  <si>
    <t>Uala</t>
  </si>
  <si>
    <t>Colegiatura Leander</t>
  </si>
  <si>
    <t>Clases de aleman</t>
  </si>
  <si>
    <t>8 clases al mes (2 clases semanales)</t>
  </si>
  <si>
    <t xml:space="preserve">HSBC </t>
  </si>
  <si>
    <t>Gimnasia</t>
  </si>
  <si>
    <t>Inscripcion Lena</t>
  </si>
  <si>
    <t>Al menos 50% de la siguiente inscripcion</t>
  </si>
  <si>
    <t>Stori Inversion +</t>
  </si>
  <si>
    <t>Natacion Lena</t>
  </si>
  <si>
    <t>Natacion Leander</t>
  </si>
  <si>
    <t>Little Kickers</t>
  </si>
  <si>
    <t>Inscripcion Leander</t>
  </si>
  <si>
    <t>Total</t>
  </si>
  <si>
    <t>Suscripciones</t>
  </si>
  <si>
    <t xml:space="preserve">Cuenta Deposito </t>
  </si>
  <si>
    <t>Sports World</t>
  </si>
  <si>
    <t>Nu Cajita Gastos</t>
  </si>
  <si>
    <t>Netflix</t>
  </si>
  <si>
    <t>2Now Gastos</t>
  </si>
  <si>
    <t>NFL game pass</t>
  </si>
  <si>
    <t>Disney</t>
  </si>
  <si>
    <t>Max</t>
  </si>
  <si>
    <t>Spotify</t>
  </si>
  <si>
    <t>Digital Ocean</t>
  </si>
  <si>
    <t>Prime</t>
  </si>
  <si>
    <t>Uber one</t>
  </si>
  <si>
    <t xml:space="preserve">Frontend masters </t>
  </si>
  <si>
    <t>Telecomunicaciones</t>
  </si>
  <si>
    <t xml:space="preserve">Totalplay (Internet + TV) </t>
  </si>
  <si>
    <t>2Now Hogar</t>
  </si>
  <si>
    <t>Nu Cajita Hogar</t>
  </si>
  <si>
    <t>Movistar Dalia</t>
  </si>
  <si>
    <t>Movistar Alfredo</t>
  </si>
  <si>
    <t>Ahorro</t>
  </si>
  <si>
    <t>Trading</t>
  </si>
  <si>
    <t>GBM Trading</t>
  </si>
  <si>
    <t>Dolares</t>
  </si>
  <si>
    <t>GBM Dolares</t>
  </si>
  <si>
    <t>Largo plazo</t>
  </si>
  <si>
    <t>Auto</t>
  </si>
  <si>
    <t>Nuevo Auto</t>
  </si>
  <si>
    <t>Nu Cajita Auto</t>
  </si>
  <si>
    <t>Gasolina</t>
  </si>
  <si>
    <t>Seguro</t>
  </si>
  <si>
    <t>Matenimiento</t>
  </si>
  <si>
    <t>Lavado</t>
  </si>
  <si>
    <t>2 lavados al mes</t>
  </si>
  <si>
    <t>Tenencia</t>
  </si>
  <si>
    <t>Verificacion</t>
  </si>
  <si>
    <t>Zuhause</t>
  </si>
  <si>
    <t>Renta</t>
  </si>
  <si>
    <t>HSBC Flexible</t>
  </si>
  <si>
    <t>Supermercado y comida</t>
  </si>
  <si>
    <t xml:space="preserve">Limpieza  Alicia </t>
  </si>
  <si>
    <t>450, contando 8  limpiezas al mes</t>
  </si>
  <si>
    <t>Limpieza Sra Dalia</t>
  </si>
  <si>
    <t>4 jueves por mes</t>
  </si>
  <si>
    <t>Cuota Admin. Sta Anita</t>
  </si>
  <si>
    <t>Gas</t>
  </si>
  <si>
    <t>Recargando 2000 cada 2 meses</t>
  </si>
  <si>
    <t>Electricidad</t>
  </si>
  <si>
    <t>Asumiendo un gasto de 1500 al bimestre</t>
  </si>
  <si>
    <t>Agua</t>
  </si>
  <si>
    <t>450 Bartolache + 120 Santa Anita</t>
  </si>
  <si>
    <t>Basura (Sr. Polo)</t>
  </si>
  <si>
    <t>Predial Sta Anita</t>
  </si>
  <si>
    <t>ISR Renta Departamento</t>
  </si>
  <si>
    <t>Hipoteca</t>
  </si>
  <si>
    <t>Miscelaneos</t>
  </si>
  <si>
    <t>Libre</t>
  </si>
  <si>
    <t>Efectivo</t>
  </si>
  <si>
    <t xml:space="preserve">Dalia mensualidad </t>
  </si>
  <si>
    <t>Nu Dalia Debito</t>
  </si>
  <si>
    <t>Column 1</t>
  </si>
  <si>
    <t>CLABE</t>
  </si>
  <si>
    <t>Referencia en deposito</t>
  </si>
  <si>
    <t>Total Mensual</t>
  </si>
  <si>
    <t>Total quincenal</t>
  </si>
  <si>
    <t>Programada</t>
  </si>
  <si>
    <t>x</t>
  </si>
  <si>
    <t xml:space="preserve"> </t>
  </si>
  <si>
    <t xml:space="preserve">Total </t>
  </si>
  <si>
    <t>Mensualidades</t>
  </si>
  <si>
    <t>Concepto</t>
  </si>
  <si>
    <t>Cantidad</t>
  </si>
  <si>
    <t># Mensualidades</t>
  </si>
  <si>
    <t>Mensualidades Pagadas</t>
  </si>
  <si>
    <t xml:space="preserve">Mensualidad </t>
  </si>
  <si>
    <t>Restante</t>
  </si>
  <si>
    <t>Tarjeta</t>
  </si>
  <si>
    <t>Gastos Medicos Menores</t>
  </si>
  <si>
    <t>Gastos Generales</t>
  </si>
  <si>
    <t>Gastos Medicos Mayores 2Now</t>
  </si>
  <si>
    <t>Gastos Hogar y Alimentos</t>
  </si>
  <si>
    <t>Texas 2</t>
  </si>
  <si>
    <t>AMEX</t>
  </si>
  <si>
    <t>Olinca Enero</t>
  </si>
  <si>
    <t>Olinca Diciembre</t>
  </si>
  <si>
    <t>Olinca Noviembre</t>
  </si>
  <si>
    <t>AIRBNB</t>
  </si>
  <si>
    <t>AMEX MSI</t>
  </si>
  <si>
    <t>AMEX Extranjero Dic</t>
  </si>
  <si>
    <t>Gastos Medicos Mayores Amex</t>
  </si>
  <si>
    <t>Vuelo Tijuana</t>
  </si>
  <si>
    <t>AMEX Gastos medicos</t>
  </si>
  <si>
    <t>Costco</t>
  </si>
  <si>
    <t xml:space="preserve">Costco </t>
  </si>
  <si>
    <t>Sala</t>
  </si>
  <si>
    <t>Texas 1</t>
  </si>
  <si>
    <t>Happy Holidays</t>
  </si>
  <si>
    <t>Amazon MSI</t>
  </si>
  <si>
    <t>Gastos Programados WE</t>
  </si>
  <si>
    <t>Computadora</t>
  </si>
  <si>
    <t>Gastos WE</t>
  </si>
  <si>
    <t>Toys R Us</t>
  </si>
  <si>
    <t>iPad</t>
  </si>
  <si>
    <t>Master</t>
  </si>
  <si>
    <t>Lavadora</t>
  </si>
  <si>
    <t>Estufa</t>
  </si>
  <si>
    <t>Gastos Medicos WE</t>
  </si>
  <si>
    <t>Bellroy Sling</t>
  </si>
  <si>
    <t>Dentista</t>
  </si>
  <si>
    <t>La Comer</t>
  </si>
  <si>
    <t>Tarjeta Liverpool</t>
  </si>
  <si>
    <t>Liverpool</t>
  </si>
  <si>
    <t>Tarjeta Nu</t>
  </si>
  <si>
    <t>Nu Tarjeta</t>
  </si>
  <si>
    <t>Tarjeta palacio</t>
  </si>
  <si>
    <t>Palacio de Hierro</t>
  </si>
  <si>
    <t>Tarjeta Uala</t>
  </si>
  <si>
    <t>Uala Credito</t>
  </si>
  <si>
    <t>Vuelos Houston</t>
  </si>
  <si>
    <t>Volaris</t>
  </si>
  <si>
    <t>IKEA</t>
  </si>
  <si>
    <t>Olinca Febrero</t>
  </si>
  <si>
    <t>Tennis Brooks</t>
  </si>
  <si>
    <t>Total Deuda</t>
  </si>
  <si>
    <t>Deuda Restante</t>
  </si>
  <si>
    <t>Dia de corte</t>
  </si>
  <si>
    <t>Dia limite de pago</t>
  </si>
  <si>
    <t>Total por tarjeta</t>
  </si>
  <si>
    <t>Pagos unicos tarjetas</t>
  </si>
  <si>
    <t>Meses Sin Intereses</t>
  </si>
  <si>
    <t>Nombre cuenta</t>
  </si>
  <si>
    <t>Tipo</t>
  </si>
  <si>
    <t>Codigo Referencia</t>
  </si>
  <si>
    <t>Cuenta / Tarjeta</t>
  </si>
  <si>
    <t>Tipos de cuentas</t>
  </si>
  <si>
    <t>Visible</t>
  </si>
  <si>
    <t>0000001</t>
  </si>
  <si>
    <t>021180040690613986</t>
  </si>
  <si>
    <t>Santander</t>
  </si>
  <si>
    <t>0000002</t>
  </si>
  <si>
    <t>014180605670596501</t>
  </si>
  <si>
    <t>BBVA</t>
  </si>
  <si>
    <t>0000003</t>
  </si>
  <si>
    <t>012180015377177365</t>
  </si>
  <si>
    <t>Inversion</t>
  </si>
  <si>
    <t>0000004</t>
  </si>
  <si>
    <t>638180010151893079</t>
  </si>
  <si>
    <t>Credito</t>
  </si>
  <si>
    <t>Nu</t>
  </si>
  <si>
    <t>0000005</t>
  </si>
  <si>
    <t>638180000177404193</t>
  </si>
  <si>
    <t>Departamental</t>
  </si>
  <si>
    <t>Stori +</t>
  </si>
  <si>
    <t>0000006</t>
  </si>
  <si>
    <t>646180402300057567</t>
  </si>
  <si>
    <t>Cetes</t>
  </si>
  <si>
    <t>0000102</t>
  </si>
  <si>
    <t>135180330008516792</t>
  </si>
  <si>
    <t>0000104</t>
  </si>
  <si>
    <t>601180400038253515</t>
  </si>
  <si>
    <t>Tipos de gasto</t>
  </si>
  <si>
    <t>0000103</t>
  </si>
  <si>
    <t>601180400049499232</t>
  </si>
  <si>
    <t>Estudios y medicamentos</t>
  </si>
  <si>
    <t>0000027</t>
  </si>
  <si>
    <t>6620010271451763</t>
  </si>
  <si>
    <t>Supermercado</t>
  </si>
  <si>
    <t>0000029</t>
  </si>
  <si>
    <t>646222162529157954</t>
  </si>
  <si>
    <t>Comida para llevar</t>
  </si>
  <si>
    <t>0000022</t>
  </si>
  <si>
    <t>5470748025759733</t>
  </si>
  <si>
    <t>021975211101429027</t>
  </si>
  <si>
    <t>Ropa</t>
  </si>
  <si>
    <t>Rappi</t>
  </si>
  <si>
    <t>0000023</t>
  </si>
  <si>
    <t>4075610085387965</t>
  </si>
  <si>
    <t>646180120624078216</t>
  </si>
  <si>
    <t>Servicios</t>
  </si>
  <si>
    <t>0000024</t>
  </si>
  <si>
    <t>002975010130301365</t>
  </si>
  <si>
    <t>Educacion</t>
  </si>
  <si>
    <t>0000025</t>
  </si>
  <si>
    <t>5253460005319362</t>
  </si>
  <si>
    <t>059975010021156436</t>
  </si>
  <si>
    <t>Actividades</t>
  </si>
  <si>
    <t>Stori Tarjeta</t>
  </si>
  <si>
    <t>0000026</t>
  </si>
  <si>
    <t>5303460002097136</t>
  </si>
  <si>
    <t>646180224430895806</t>
  </si>
  <si>
    <t>Consultas medicas</t>
  </si>
  <si>
    <t>5267776905329837</t>
  </si>
  <si>
    <t>638975000249369122</t>
  </si>
  <si>
    <t>0000028</t>
  </si>
  <si>
    <t>5221748002171250</t>
  </si>
  <si>
    <t>021975211901200792</t>
  </si>
  <si>
    <t>0000031</t>
  </si>
  <si>
    <t>371779655281004</t>
  </si>
  <si>
    <t>0000030</t>
  </si>
  <si>
    <t>5470748025758396</t>
  </si>
  <si>
    <t>0000011</t>
  </si>
  <si>
    <t>021180065930525793</t>
  </si>
  <si>
    <t>0000012</t>
  </si>
  <si>
    <t>0000013</t>
  </si>
  <si>
    <t>0000016</t>
  </si>
  <si>
    <t>0000014</t>
  </si>
  <si>
    <t>138580000023894928</t>
  </si>
  <si>
    <t>0000015</t>
  </si>
  <si>
    <t>Cancun Ago 25</t>
  </si>
  <si>
    <t xml:space="preserve">Concepto </t>
  </si>
  <si>
    <t>Monto</t>
  </si>
  <si>
    <t>Pagado</t>
  </si>
  <si>
    <t>Hotel Cancun</t>
  </si>
  <si>
    <t>Si</t>
  </si>
  <si>
    <t>Vuelos Cancun</t>
  </si>
  <si>
    <t>Hotel Aeropuerto</t>
  </si>
  <si>
    <t>Asientos Vuelo</t>
  </si>
  <si>
    <t xml:space="preserve">Cena Aeropuerto </t>
  </si>
  <si>
    <t>H&amp;M</t>
  </si>
  <si>
    <t>Starbucks Cancun Aeropuerto</t>
  </si>
  <si>
    <t>Gasolina Auto Renta</t>
  </si>
  <si>
    <t>Uber Aeropuerto</t>
  </si>
  <si>
    <t>Tienda Aeropuerto CUN</t>
  </si>
  <si>
    <t xml:space="preserve">Wifi </t>
  </si>
  <si>
    <t>Renta auto</t>
  </si>
  <si>
    <t>2Now Super</t>
  </si>
  <si>
    <t>Fecha</t>
  </si>
  <si>
    <t>Compra mensual</t>
  </si>
  <si>
    <t>Toks</t>
  </si>
  <si>
    <t>Membresia</t>
  </si>
  <si>
    <t>Uber eats</t>
  </si>
  <si>
    <t>Compras casa</t>
  </si>
  <si>
    <t xml:space="preserve">Grillo </t>
  </si>
  <si>
    <t>Anualidad tarjeta</t>
  </si>
  <si>
    <t>Gastos varios</t>
  </si>
  <si>
    <t>Alimentos</t>
  </si>
  <si>
    <t>Compra</t>
  </si>
  <si>
    <t>Reyes</t>
  </si>
  <si>
    <t>Por Pagar</t>
  </si>
  <si>
    <t>Historico</t>
  </si>
  <si>
    <t>Ago-Sept</t>
  </si>
  <si>
    <t>La comer 17/08</t>
  </si>
  <si>
    <t>Sanborns</t>
  </si>
  <si>
    <t>Mercado</t>
  </si>
  <si>
    <t>Casa Toño</t>
  </si>
  <si>
    <t>La comer de valle</t>
  </si>
  <si>
    <t>Soriana</t>
  </si>
  <si>
    <t>Santa clara</t>
  </si>
  <si>
    <t>Oxxo Caseta Oacalco</t>
  </si>
  <si>
    <t>Oxxo</t>
  </si>
  <si>
    <t>Santa Clara</t>
  </si>
  <si>
    <t>Garat</t>
  </si>
  <si>
    <t>Panda Express</t>
  </si>
  <si>
    <t>Los Lalos</t>
  </si>
  <si>
    <t>Semillero</t>
  </si>
  <si>
    <t>Uber</t>
  </si>
  <si>
    <t>Tierra GARAT</t>
  </si>
  <si>
    <t>La comer</t>
  </si>
  <si>
    <t>Desayuno</t>
  </si>
  <si>
    <t>X</t>
  </si>
  <si>
    <t>Grillo</t>
  </si>
  <si>
    <t>Cafe</t>
  </si>
  <si>
    <t>Starbucks</t>
  </si>
  <si>
    <t>esperanza</t>
  </si>
  <si>
    <t>McDonalds</t>
  </si>
  <si>
    <t>Tommy Pizza</t>
  </si>
  <si>
    <t>Pasteles CSM</t>
  </si>
  <si>
    <t>Rincon de ade</t>
  </si>
  <si>
    <t>Esperanza</t>
  </si>
  <si>
    <t>Carrito oaxaca</t>
  </si>
  <si>
    <t>Iguana</t>
  </si>
  <si>
    <t>Uber Chillis</t>
  </si>
  <si>
    <t>Mac donalds</t>
  </si>
  <si>
    <t xml:space="preserve">Madraje </t>
  </si>
  <si>
    <t>Players CSM</t>
  </si>
  <si>
    <t>Walmart</t>
  </si>
  <si>
    <t>Uber Olinca</t>
  </si>
  <si>
    <t>Carrito Oaxaca</t>
  </si>
  <si>
    <t>Cafe de hoy</t>
  </si>
  <si>
    <t>Uber Olinca-Perisur</t>
  </si>
  <si>
    <t>Carls Jr</t>
  </si>
  <si>
    <t>Uber Perisur-Casa</t>
  </si>
  <si>
    <t>cafe la comer</t>
  </si>
  <si>
    <t>Cancino</t>
  </si>
  <si>
    <t>24/08/2025</t>
  </si>
  <si>
    <t>Toks Tijuana</t>
  </si>
  <si>
    <t>La comer del valle</t>
  </si>
  <si>
    <t>Frody</t>
  </si>
  <si>
    <t>Johny rockets</t>
  </si>
  <si>
    <t>Petco</t>
  </si>
  <si>
    <t>Palomitas palacio</t>
  </si>
  <si>
    <t>Tierra garat</t>
  </si>
  <si>
    <t>Cafe C</t>
  </si>
  <si>
    <t>Best coffe AICM</t>
  </si>
  <si>
    <t>Tacos La chula</t>
  </si>
  <si>
    <t>Uber Eats</t>
  </si>
  <si>
    <t>LPQ AICM</t>
  </si>
  <si>
    <t>desayuno</t>
  </si>
  <si>
    <t>Hooters</t>
  </si>
  <si>
    <t>Helados</t>
  </si>
  <si>
    <t>Tierra Garat</t>
  </si>
  <si>
    <t>Mutti</t>
  </si>
  <si>
    <t>Crepas</t>
  </si>
  <si>
    <t>Seven</t>
  </si>
  <si>
    <t>Desayuno gym viernes</t>
  </si>
  <si>
    <t>Maison Kayser</t>
  </si>
  <si>
    <t>Propina</t>
  </si>
  <si>
    <t>El osito</t>
  </si>
  <si>
    <t>City cafe (COSTCO)</t>
  </si>
  <si>
    <t>Desyuno Miguel Laurent</t>
  </si>
  <si>
    <t>Cafe dehoy</t>
  </si>
  <si>
    <t>Little Caesars</t>
  </si>
  <si>
    <t>El Chaval</t>
  </si>
  <si>
    <t>Gasto X</t>
  </si>
  <si>
    <t>CAncino</t>
  </si>
  <si>
    <t xml:space="preserve">7 eleven </t>
  </si>
  <si>
    <t>Decoraciones</t>
  </si>
  <si>
    <t>YAG*UNIFSOTO</t>
  </si>
  <si>
    <t>jamaica</t>
  </si>
  <si>
    <t>tierra garat</t>
  </si>
  <si>
    <t>Uber eats propina</t>
  </si>
  <si>
    <t>Garabatos</t>
  </si>
  <si>
    <t>Carnitas</t>
  </si>
  <si>
    <t>La comer 12/09</t>
  </si>
  <si>
    <t>Croquetas</t>
  </si>
  <si>
    <t>Cafe comer</t>
  </si>
  <si>
    <t>Italiannis</t>
  </si>
  <si>
    <t>Chilis</t>
  </si>
  <si>
    <t>Little Caesar</t>
  </si>
  <si>
    <t>Contenedor</t>
  </si>
  <si>
    <t>Carrito</t>
  </si>
  <si>
    <t>Desayuno Rincon de Ade</t>
  </si>
  <si>
    <t>uber</t>
  </si>
  <si>
    <t xml:space="preserve">Comer </t>
  </si>
  <si>
    <t xml:space="preserve">La comer </t>
  </si>
  <si>
    <t>La comer cafe</t>
  </si>
  <si>
    <t>7 Eleven</t>
  </si>
  <si>
    <t>Mercado Pago</t>
  </si>
  <si>
    <t>Lumen</t>
  </si>
  <si>
    <t>Restaurante Almara</t>
  </si>
  <si>
    <t>Corte Oct 16</t>
  </si>
  <si>
    <t>amazon</t>
  </si>
  <si>
    <t>Mandrake</t>
  </si>
  <si>
    <t>Miniso</t>
  </si>
  <si>
    <t>Mollets</t>
  </si>
  <si>
    <t>la comer</t>
  </si>
  <si>
    <t>la comer cafe</t>
  </si>
  <si>
    <t>Ztl</t>
  </si>
  <si>
    <t>Cafe Coyoacan</t>
  </si>
  <si>
    <t>Corte 16 de Sept</t>
  </si>
  <si>
    <t>Ferreteria</t>
  </si>
  <si>
    <t>Tarjeta Usada</t>
  </si>
  <si>
    <t>Zapatos Leander</t>
  </si>
  <si>
    <t>Heladeria Roxy</t>
  </si>
  <si>
    <t>Amazon</t>
  </si>
  <si>
    <t>Amazon bomba</t>
  </si>
  <si>
    <t>Labial Dalia</t>
  </si>
  <si>
    <t>Peluqueria Lean</t>
  </si>
  <si>
    <t>Playstation</t>
  </si>
  <si>
    <t>Vix</t>
  </si>
  <si>
    <t>Digital ocean</t>
  </si>
  <si>
    <t>Amaazon</t>
  </si>
  <si>
    <t>Televia</t>
  </si>
  <si>
    <t>Mercado Libre</t>
  </si>
  <si>
    <t>Comedor</t>
  </si>
  <si>
    <t>Lingokids</t>
  </si>
  <si>
    <t>Barberia</t>
  </si>
  <si>
    <t>Natacion</t>
  </si>
  <si>
    <t>Total Gastado</t>
  </si>
  <si>
    <t>Total por pagar</t>
  </si>
  <si>
    <t>Historico AMEX</t>
  </si>
  <si>
    <t>Sept-Oct</t>
  </si>
  <si>
    <t>Dic-Ene</t>
  </si>
  <si>
    <t>Ferreteria Fusibles</t>
  </si>
  <si>
    <t>Cafe la comer</t>
  </si>
  <si>
    <t>Ihop</t>
  </si>
  <si>
    <t>Dairy Queen</t>
  </si>
  <si>
    <t>La comer Cafe</t>
  </si>
  <si>
    <t>Farmacia</t>
  </si>
  <si>
    <t>Flores Dalia</t>
  </si>
  <si>
    <t>Motrin y alasol</t>
  </si>
  <si>
    <t>Fotos visa</t>
  </si>
  <si>
    <t>Mantenimiento Auto</t>
  </si>
  <si>
    <t>Cremas neutrogena</t>
  </si>
  <si>
    <t>Waldos</t>
  </si>
  <si>
    <t>Sfera</t>
  </si>
  <si>
    <t>Moneypool</t>
  </si>
  <si>
    <t>Zara</t>
  </si>
  <si>
    <t>Gap</t>
  </si>
  <si>
    <t>Cafe San Pedro</t>
  </si>
  <si>
    <t>Veterinario</t>
  </si>
  <si>
    <t>Tiendita olinca</t>
  </si>
  <si>
    <t>Tempra</t>
  </si>
  <si>
    <t>Pediasure e Ibuprofeno</t>
  </si>
  <si>
    <t>Cinnabon</t>
  </si>
  <si>
    <t>Antibiotico</t>
  </si>
  <si>
    <t>Wifi Avion</t>
  </si>
  <si>
    <t>Inscripcion Gimnasia</t>
  </si>
  <si>
    <t>Pegalinas</t>
  </si>
  <si>
    <t>PS Plus</t>
  </si>
  <si>
    <t>Kidzania</t>
  </si>
  <si>
    <t>Mercado libre</t>
  </si>
  <si>
    <t>Kindle</t>
  </si>
  <si>
    <t>HM</t>
  </si>
  <si>
    <t>Ikea</t>
  </si>
  <si>
    <t xml:space="preserve">seven </t>
  </si>
  <si>
    <t>Amazon DE</t>
  </si>
  <si>
    <t>Lapicera</t>
  </si>
  <si>
    <t>Play station</t>
  </si>
  <si>
    <t>Kit limpieza</t>
  </si>
  <si>
    <t>Zoho Sub</t>
  </si>
  <si>
    <t>Libros</t>
  </si>
  <si>
    <t>Alpecin azul</t>
  </si>
  <si>
    <t>Fotos Navidad</t>
  </si>
  <si>
    <t>Botella Frozen</t>
  </si>
  <si>
    <t>Dentalia</t>
  </si>
  <si>
    <t>Helados Perisur</t>
  </si>
  <si>
    <t>22/08/2025</t>
  </si>
  <si>
    <t>Ofrendas</t>
  </si>
  <si>
    <t>Corte Leander</t>
  </si>
  <si>
    <t>23/08/2025</t>
  </si>
  <si>
    <t>Happy swimm</t>
  </si>
  <si>
    <t>Universum</t>
  </si>
  <si>
    <t>San pablo</t>
  </si>
  <si>
    <t>Croquetas y cepillos de dientes</t>
  </si>
  <si>
    <t>Sears ICEE</t>
  </si>
  <si>
    <t>Comida Berlin</t>
  </si>
  <si>
    <t>AMazon</t>
  </si>
  <si>
    <t>Rappi (pruebas covid)</t>
  </si>
  <si>
    <t>Star Medica</t>
  </si>
  <si>
    <t xml:space="preserve">Enterogermina </t>
  </si>
  <si>
    <t xml:space="preserve">Gatorade </t>
  </si>
  <si>
    <t>Kits nebulizacion</t>
  </si>
  <si>
    <t>PRO-K Gimnasia</t>
  </si>
  <si>
    <t>Neutrogena cremas</t>
  </si>
  <si>
    <t>Rappi Lysol</t>
  </si>
  <si>
    <t>Fantasias Miguel</t>
  </si>
  <si>
    <t>Home depot general</t>
  </si>
  <si>
    <t>Bisquets</t>
  </si>
  <si>
    <t>Home Depot Electricidad</t>
  </si>
  <si>
    <t>Regalos Nico y Carlota</t>
  </si>
  <si>
    <t>ShakeShack</t>
  </si>
  <si>
    <t>El moro</t>
  </si>
  <si>
    <t xml:space="preserve">Tierra Garat </t>
  </si>
  <si>
    <t>Mas gastos</t>
  </si>
  <si>
    <t>Palacio Cafe</t>
  </si>
  <si>
    <t>Corte 12 Sept</t>
  </si>
  <si>
    <t>Crepa y cafe</t>
  </si>
  <si>
    <t>Corte12 Oct</t>
  </si>
  <si>
    <t>7 Eleven Adolfo</t>
  </si>
  <si>
    <t>Olinca</t>
  </si>
  <si>
    <t>Starbucs</t>
  </si>
  <si>
    <t>Wifi Aeromexico</t>
  </si>
  <si>
    <t>Tienda Olinca</t>
  </si>
  <si>
    <t xml:space="preserve">Barberia </t>
  </si>
  <si>
    <t>Cafe palacio</t>
  </si>
  <si>
    <t>Helado mitikah</t>
  </si>
  <si>
    <t>Bolsa Dalia</t>
  </si>
  <si>
    <t>UNIQLO</t>
  </si>
  <si>
    <t>Super clime</t>
  </si>
  <si>
    <t>Farmacia del ahorro</t>
  </si>
  <si>
    <t>Starmedica rest</t>
  </si>
  <si>
    <t>Gastos Programados</t>
  </si>
  <si>
    <t>Otros Gastos</t>
  </si>
  <si>
    <t>sports world</t>
  </si>
  <si>
    <t>Totalplay</t>
  </si>
  <si>
    <t xml:space="preserve">Telefonica </t>
  </si>
  <si>
    <t>Claude</t>
  </si>
  <si>
    <t>HBO Max</t>
  </si>
  <si>
    <t xml:space="preserve">Hasta 17 Nov </t>
  </si>
  <si>
    <t>Hasta 17 Ene</t>
  </si>
  <si>
    <t xml:space="preserve">Olinca </t>
  </si>
  <si>
    <t>Portacables</t>
  </si>
  <si>
    <t>Bicicletas</t>
  </si>
  <si>
    <t>PortaPasteles</t>
  </si>
  <si>
    <t>Olinca (Uniformes, licencias)</t>
  </si>
  <si>
    <t>Accesorios pasteles</t>
  </si>
  <si>
    <t xml:space="preserve">Olinca (Uniformes, licencias)
</t>
  </si>
  <si>
    <t xml:space="preserve">Cera </t>
  </si>
  <si>
    <t>Avion Tijuana</t>
  </si>
  <si>
    <t>adaptadores micro-usb</t>
  </si>
  <si>
    <t>Podologia</t>
  </si>
  <si>
    <t>Aceite y desmaquillante</t>
  </si>
  <si>
    <t>Pastel Lena</t>
  </si>
  <si>
    <t>Comida Cine</t>
  </si>
  <si>
    <t>Toys R Us Perisur</t>
  </si>
  <si>
    <t>Posada Suizo</t>
  </si>
  <si>
    <t>Lefties</t>
  </si>
  <si>
    <t>Apple</t>
  </si>
  <si>
    <t>Boletos Cine</t>
  </si>
  <si>
    <t>Juguetron</t>
  </si>
  <si>
    <t>Spa</t>
  </si>
  <si>
    <t>Luces</t>
  </si>
  <si>
    <t>H&amp;M Mancar</t>
  </si>
  <si>
    <t>Libro Leander Advent y Emocionario</t>
  </si>
  <si>
    <t>Titans</t>
  </si>
  <si>
    <t>Oxxo Yautepec</t>
  </si>
  <si>
    <t>Mercado libre (Shampoos)</t>
  </si>
  <si>
    <t>Cartuchos impresora</t>
  </si>
  <si>
    <t>Namecheap</t>
  </si>
  <si>
    <t xml:space="preserve">Ganchos </t>
  </si>
  <si>
    <t>Corte de cabello</t>
  </si>
  <si>
    <t>Baño Berlin</t>
  </si>
  <si>
    <t>HM Perisur</t>
  </si>
  <si>
    <t>Gastos no encontrados</t>
  </si>
  <si>
    <t>Dulce madera</t>
  </si>
  <si>
    <t>Fantasy</t>
  </si>
  <si>
    <t xml:space="preserve">Liverpool </t>
  </si>
  <si>
    <t>Berel</t>
  </si>
  <si>
    <t>Patreon</t>
  </si>
  <si>
    <t>Parco</t>
  </si>
  <si>
    <t>Womens secret</t>
  </si>
  <si>
    <t>MueveCiudad</t>
  </si>
  <si>
    <t>Parquimetro</t>
  </si>
  <si>
    <t>Marti</t>
  </si>
  <si>
    <t>Hotel tijuana</t>
  </si>
  <si>
    <t>Pizza maestra</t>
  </si>
  <si>
    <t>chopo</t>
  </si>
  <si>
    <t>Ecobici</t>
  </si>
  <si>
    <t>Porrua</t>
  </si>
  <si>
    <t>Julio</t>
  </si>
  <si>
    <t>DAX</t>
  </si>
  <si>
    <t>Maison kayser</t>
  </si>
  <si>
    <t>Oxxo Valle</t>
  </si>
  <si>
    <t>Navaja Suiza</t>
  </si>
  <si>
    <t>El sotano</t>
  </si>
  <si>
    <t>Tacos Copacabana</t>
  </si>
  <si>
    <t>Expo WTC</t>
  </si>
  <si>
    <t>Justo</t>
  </si>
  <si>
    <t>Home depot</t>
  </si>
  <si>
    <t>Justo (Toño)</t>
  </si>
  <si>
    <t>Playera Arsenal</t>
  </si>
  <si>
    <t>Pediasure</t>
  </si>
  <si>
    <t>Palacio de hierro</t>
  </si>
  <si>
    <t>Labial</t>
  </si>
  <si>
    <t>Apple arcade</t>
  </si>
  <si>
    <t>Apple tv+</t>
  </si>
  <si>
    <t>Zara home</t>
  </si>
  <si>
    <t>Coursera</t>
  </si>
  <si>
    <t>Taquearte</t>
  </si>
  <si>
    <t>Cafe hotel</t>
  </si>
  <si>
    <t>Trader Joes</t>
  </si>
  <si>
    <t>Helado Santana Row</t>
  </si>
  <si>
    <t>Blue bottle</t>
  </si>
  <si>
    <t>Mosquitero</t>
  </si>
  <si>
    <t>Medicamentos y Consultas</t>
  </si>
  <si>
    <t>Facturado</t>
  </si>
  <si>
    <t>Subido a Risco</t>
  </si>
  <si>
    <t>Reembolsado</t>
  </si>
  <si>
    <t>Suma A reembolsar</t>
  </si>
  <si>
    <t xml:space="preserve">Medicinas Dalia </t>
  </si>
  <si>
    <t>Ginecologa</t>
  </si>
  <si>
    <t>Vacuna Alfredo</t>
  </si>
  <si>
    <t>Alergologo Leander</t>
  </si>
  <si>
    <t>Blaxitec</t>
  </si>
  <si>
    <t>Medicinas Alfredo</t>
  </si>
  <si>
    <t>Podologa</t>
  </si>
  <si>
    <t>Vacuna Lena</t>
  </si>
  <si>
    <t>Laser Onicomicosis</t>
  </si>
  <si>
    <t>Estudios Lena y Leander</t>
  </si>
  <si>
    <t>Ferricol</t>
  </si>
  <si>
    <t>Radiografia Chopo</t>
  </si>
  <si>
    <t>Radiografia Lab Polanco</t>
  </si>
  <si>
    <t>Radiografias StarMedica</t>
  </si>
  <si>
    <t>Crema</t>
  </si>
  <si>
    <t>Consulta Alergologo</t>
  </si>
  <si>
    <t>Combivent Rescate</t>
  </si>
  <si>
    <t>Medicinas nebulizador</t>
  </si>
  <si>
    <t>Vacuna Varicela y Sarampion</t>
  </si>
  <si>
    <t>Vacuna Varicela</t>
  </si>
  <si>
    <t>Medicinas</t>
  </si>
  <si>
    <t>Cita psicologa</t>
  </si>
  <si>
    <t>Pulmicort y kits</t>
  </si>
  <si>
    <t>Medicinas garganta</t>
  </si>
  <si>
    <t>Vannair</t>
  </si>
  <si>
    <t>Podologia Productos</t>
  </si>
  <si>
    <t>Medicinas ojo Lena</t>
  </si>
  <si>
    <t>Gastos Extra HIP</t>
  </si>
  <si>
    <t>Oftalmologa Lena</t>
  </si>
  <si>
    <t>Pulmicort y  combivent</t>
  </si>
  <si>
    <t>SI</t>
  </si>
  <si>
    <t>Eugenio Sue</t>
  </si>
  <si>
    <t>Consulta Endocrinologia</t>
  </si>
  <si>
    <t>Adimod</t>
  </si>
  <si>
    <t>Lena consulta oftalmo</t>
  </si>
  <si>
    <t>Lena lentes</t>
  </si>
  <si>
    <t xml:space="preserve">Medicinas Alfredo </t>
  </si>
  <si>
    <t>Vitamina E</t>
  </si>
  <si>
    <t>Reembolso solicitado</t>
  </si>
  <si>
    <t>4 Sesiones Terapia</t>
  </si>
  <si>
    <t>1 Sesion Terapia</t>
  </si>
  <si>
    <t>Neumonia Leander</t>
  </si>
  <si>
    <t>Medicinas nebulizacion</t>
  </si>
  <si>
    <t>Consulta neumologa</t>
  </si>
  <si>
    <t>Medicinas mantenimiento (Vannair, allegra, esteroide)</t>
  </si>
  <si>
    <t>Medicinas Nuemologa</t>
  </si>
  <si>
    <t>Consulta 2 neumologa</t>
  </si>
  <si>
    <t>Medicinas 2 Neumologa</t>
  </si>
  <si>
    <t>Consulta 3 Neumologa</t>
  </si>
  <si>
    <t>Inmunologia Leander</t>
  </si>
  <si>
    <t>Pruebas alergia Leander</t>
  </si>
  <si>
    <t>Vacuna Leander</t>
  </si>
  <si>
    <t>16/02/2025</t>
  </si>
  <si>
    <t>01/03/2025</t>
  </si>
  <si>
    <t>14/03/2025</t>
  </si>
  <si>
    <t>31/03/2025</t>
  </si>
  <si>
    <t>15/04/2025</t>
  </si>
  <si>
    <t>30/04/2025</t>
  </si>
  <si>
    <t>15/05/2025</t>
  </si>
  <si>
    <t>31/05/2025</t>
  </si>
  <si>
    <t>15/06/2025</t>
  </si>
  <si>
    <t>30/06/2025</t>
  </si>
  <si>
    <t>15/07/2025</t>
  </si>
  <si>
    <t>31/07/25</t>
  </si>
  <si>
    <t>15/08/25</t>
  </si>
  <si>
    <t>31/08/25</t>
  </si>
  <si>
    <t>Mensual</t>
  </si>
  <si>
    <t>v</t>
  </si>
  <si>
    <t>Objetivos Ahorro</t>
  </si>
  <si>
    <t>Largo Plazo (11%)</t>
  </si>
  <si>
    <t>Horario Extendido Leander</t>
  </si>
  <si>
    <t>2 dias por semana</t>
  </si>
  <si>
    <t>Corto Plazo (9%)</t>
  </si>
  <si>
    <t>4 clases al mes (4 Mi por mes)</t>
  </si>
  <si>
    <t>Ballet</t>
  </si>
  <si>
    <t>Lena Yoga</t>
  </si>
  <si>
    <t>Lena Robotica</t>
  </si>
  <si>
    <t>430, contando 8  limpiezas al mes</t>
  </si>
  <si>
    <t>Recargando 1500 cada 2 meses</t>
  </si>
  <si>
    <t>Asumiendo un gasto de 1250 al bimestre</t>
  </si>
  <si>
    <t>WORLD ELITE</t>
  </si>
  <si>
    <t>Hugo Boss San Marcos</t>
  </si>
  <si>
    <t>BROOKSHIRE BROS 626</t>
  </si>
  <si>
    <t>Adidas AMERICA, INC.</t>
  </si>
  <si>
    <t>ROSS STORES #548</t>
  </si>
  <si>
    <t>WM SUPERCENTER #6929</t>
  </si>
  <si>
    <t>MARSHALLS #819</t>
  </si>
  <si>
    <t>NikePOS_US</t>
  </si>
  <si>
    <t>BUC-EE'S #0035</t>
  </si>
  <si>
    <t>AMERICAN EXPRESS</t>
  </si>
  <si>
    <t>Tablet Amazon</t>
  </si>
  <si>
    <t>Amazon US</t>
  </si>
  <si>
    <t>Pizzeria</t>
  </si>
  <si>
    <t>Paradies</t>
  </si>
  <si>
    <t>Freezing Pont</t>
  </si>
  <si>
    <t>Old fashiond soda</t>
  </si>
  <si>
    <t>Santas wonderland</t>
  </si>
  <si>
    <t>Blitzend parking</t>
  </si>
  <si>
    <t>Chevron</t>
  </si>
  <si>
    <t>CHISHOLM TRAIL CHUCKWAG</t>
  </si>
  <si>
    <t>Soda</t>
  </si>
  <si>
    <t>Ruthie subway</t>
  </si>
  <si>
    <t>Texas state railroad</t>
  </si>
  <si>
    <t>H-E-B Temple</t>
  </si>
  <si>
    <t>N IH GEORGETOWN</t>
  </si>
  <si>
    <t>CROCS</t>
  </si>
  <si>
    <t>Shake shack</t>
  </si>
  <si>
    <t>SUNOCO</t>
  </si>
  <si>
    <t>Sunoco</t>
  </si>
  <si>
    <t xml:space="preserve">Paradies </t>
  </si>
  <si>
    <t>PS store *</t>
  </si>
  <si>
    <t>Digital Ocean *</t>
  </si>
  <si>
    <t>Futbol</t>
  </si>
  <si>
    <t>15 Dic 24</t>
  </si>
  <si>
    <t>31 Dic 24</t>
  </si>
  <si>
    <t>Si (Portal Cetes)</t>
  </si>
  <si>
    <t>No</t>
  </si>
  <si>
    <t>HSBC Air</t>
  </si>
  <si>
    <t>HBO</t>
  </si>
  <si>
    <t>¡</t>
  </si>
  <si>
    <t>Mensualidads Pagadas</t>
  </si>
  <si>
    <t>Bicicleta</t>
  </si>
  <si>
    <t>Air</t>
  </si>
  <si>
    <t>Entrenamiento</t>
  </si>
  <si>
    <t>Uniformes</t>
  </si>
  <si>
    <t>Libros Lena</t>
  </si>
  <si>
    <t>Disney on Ice</t>
  </si>
  <si>
    <t>World Elite</t>
  </si>
  <si>
    <t>Vuelo Cancun</t>
  </si>
  <si>
    <t>Invex</t>
  </si>
  <si>
    <t>Monster Jam</t>
  </si>
  <si>
    <t>Mecanico</t>
  </si>
  <si>
    <t>H&amp;M 2</t>
  </si>
  <si>
    <t xml:space="preserve">teléfono </t>
  </si>
  <si>
    <t>Muebles de patio</t>
  </si>
  <si>
    <t xml:space="preserve">Efectivo quincenal </t>
  </si>
  <si>
    <t>Sta Anita</t>
  </si>
  <si>
    <t xml:space="preserve">Mantenimiento </t>
  </si>
  <si>
    <t xml:space="preserve">Predial </t>
  </si>
  <si>
    <t>Restante Air</t>
  </si>
  <si>
    <t>Restante World Elite</t>
  </si>
  <si>
    <t>Restante Invex</t>
  </si>
  <si>
    <t>Nu Dalia</t>
  </si>
  <si>
    <t>Kinder</t>
  </si>
  <si>
    <t>Klar</t>
  </si>
  <si>
    <t>HSBC Ahorro</t>
  </si>
  <si>
    <t>Horario Extendido Lena</t>
  </si>
  <si>
    <t>Si (hacia NU)</t>
  </si>
  <si>
    <t>GBM</t>
  </si>
  <si>
    <t>Paramount</t>
  </si>
  <si>
    <t>HSBC</t>
  </si>
  <si>
    <t>Personal</t>
  </si>
  <si>
    <t xml:space="preserve">Limpieza </t>
  </si>
  <si>
    <t>Subscripciones</t>
  </si>
  <si>
    <t xml:space="preserve">Seguros, mantenimiento, sin categoría </t>
  </si>
  <si>
    <t>Seguro auto</t>
  </si>
  <si>
    <t>Finamex</t>
  </si>
  <si>
    <t>Bancos y conceptos</t>
  </si>
  <si>
    <t xml:space="preserve">Mtto. edificio </t>
  </si>
  <si>
    <t xml:space="preserve">Bodega </t>
  </si>
  <si>
    <t>Pago adelantado hipoteca</t>
  </si>
  <si>
    <t>Inscripcion niños</t>
  </si>
  <si>
    <t>Lavado auto</t>
  </si>
  <si>
    <t>Subtotal</t>
  </si>
  <si>
    <t>Salario quincenal</t>
  </si>
  <si>
    <t>Servicios e impuestos</t>
  </si>
  <si>
    <t>Fijos</t>
  </si>
  <si>
    <t>Total gastos mensual</t>
  </si>
  <si>
    <t>Predial</t>
  </si>
  <si>
    <t>Total gastos quincenal</t>
  </si>
  <si>
    <t>DISPONIBLE QUINCENAL</t>
  </si>
  <si>
    <t>Luz</t>
  </si>
  <si>
    <t xml:space="preserve">Auto </t>
  </si>
  <si>
    <t>Internet</t>
  </si>
  <si>
    <t>Plan movil Dalia</t>
  </si>
  <si>
    <t>Plan movil Alfredo</t>
  </si>
  <si>
    <t>Budget category</t>
  </si>
  <si>
    <t>Account</t>
  </si>
  <si>
    <t>Hogar</t>
  </si>
  <si>
    <t>Cuentas</t>
  </si>
  <si>
    <t>Categorias</t>
  </si>
  <si>
    <t>Codigo</t>
  </si>
  <si>
    <t>Want</t>
  </si>
  <si>
    <t>Need</t>
  </si>
  <si>
    <t>011</t>
  </si>
  <si>
    <t>002</t>
  </si>
  <si>
    <t>Savings</t>
  </si>
  <si>
    <t>021</t>
  </si>
  <si>
    <t>Debt</t>
  </si>
  <si>
    <t>022</t>
  </si>
  <si>
    <t>Free</t>
  </si>
  <si>
    <t>003</t>
  </si>
  <si>
    <t>Cuota Auto Nuevo / Mtto</t>
  </si>
  <si>
    <t>Total(redondeado)</t>
  </si>
  <si>
    <t>Dalia</t>
  </si>
  <si>
    <t>005</t>
  </si>
  <si>
    <t>001</t>
  </si>
  <si>
    <t>Santa Anita</t>
  </si>
  <si>
    <t>Stori</t>
  </si>
  <si>
    <t>013</t>
  </si>
  <si>
    <t>012</t>
  </si>
  <si>
    <t>Mantenimiento</t>
  </si>
  <si>
    <t>023</t>
  </si>
  <si>
    <t>Total (Redondeado)</t>
  </si>
  <si>
    <t>Variables</t>
  </si>
  <si>
    <t>Educacion y Actividades</t>
  </si>
  <si>
    <t xml:space="preserve">Ahorro </t>
  </si>
  <si>
    <t>CETES</t>
  </si>
  <si>
    <t>Nu Gastos</t>
  </si>
  <si>
    <t>Nu Anual</t>
  </si>
  <si>
    <t>Nu Auto</t>
  </si>
  <si>
    <t xml:space="preserve">Nu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</si>
</sst>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&quot;$&quot;#,##0.00"/>
    <numFmt numFmtId="166" formatCode="d mmm yy"/>
    <numFmt numFmtId="167" formatCode="d&quot; &quot;mmm&quot; &quot;yy"/>
    <numFmt numFmtId="168" formatCode="d&quot; &quot;mmm&quot; &quot;yyyy"/>
    <numFmt numFmtId="169" formatCode="dd/mm/yyyy"/>
  </numFmts>
  <fonts count="3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12.0"/>
      <color theme="1"/>
      <name val="Arial"/>
      <scheme val="minor"/>
    </font>
    <font>
      <sz val="11.0"/>
      <color theme="1"/>
      <name val="Arial"/>
    </font>
    <font>
      <sz val="8.0"/>
      <color theme="1"/>
      <name val="Arial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b/>
      <sz val="13.0"/>
      <color theme="1"/>
      <name val="Arial"/>
      <scheme val="minor"/>
    </font>
    <font>
      <sz val="9.0"/>
      <color rgb="FF000000"/>
      <name val="&quot;Google Sans Mono&quot;"/>
    </font>
    <font>
      <sz val="12.0"/>
      <color theme="1"/>
      <name val="Arial"/>
      <scheme val="minor"/>
    </font>
    <font>
      <sz val="12.0"/>
      <color theme="1"/>
      <name val="Arial"/>
    </font>
    <font>
      <color rgb="FF434343"/>
      <name val="Roboto"/>
    </font>
    <font>
      <b/>
      <sz val="11.0"/>
      <color rgb="FF434343"/>
      <name val="Roboto"/>
    </font>
    <font>
      <color theme="1"/>
      <name val="Roboto"/>
    </font>
    <font>
      <sz val="9.0"/>
      <color theme="1"/>
      <name val="Arial"/>
      <scheme val="minor"/>
    </font>
    <font>
      <sz val="10.0"/>
      <color rgb="FF191919"/>
      <name val="Arial"/>
      <scheme val="minor"/>
    </font>
    <font>
      <color rgb="FFFFFFFF"/>
      <name val="Roboto"/>
    </font>
    <font>
      <strike/>
      <color theme="1"/>
      <name val="Arial"/>
      <scheme val="minor"/>
    </font>
    <font>
      <sz val="9.0"/>
      <color rgb="FF795548"/>
      <name val="Arial"/>
      <scheme val="minor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356854"/>
        <bgColor rgb="FF356854"/>
      </patternFill>
    </fill>
  </fills>
  <borders count="6">
    <border/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2" numFmtId="0" xfId="0" applyFont="1"/>
    <xf borderId="0" fillId="0" fontId="6" numFmtId="0" xfId="0" applyFont="1"/>
    <xf borderId="0" fillId="0" fontId="9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2" numFmtId="0" xfId="0" applyFont="1"/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11" numFmtId="164" xfId="0" applyAlignment="1" applyFont="1" applyNumberFormat="1">
      <alignment readingOrder="0" vertical="bottom"/>
    </xf>
    <xf borderId="0" fillId="0" fontId="12" numFmtId="164" xfId="0" applyAlignment="1" applyFont="1" applyNumberFormat="1">
      <alignment readingOrder="0" vertical="bottom"/>
    </xf>
    <xf borderId="0" fillId="0" fontId="13" numFmtId="0" xfId="0" applyAlignment="1" applyFont="1">
      <alignment readingOrder="0"/>
    </xf>
    <xf borderId="0" fillId="0" fontId="14" numFmtId="165" xfId="0" applyAlignment="1" applyFont="1" applyNumberFormat="1">
      <alignment readingOrder="0"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readingOrder="0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65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0" fillId="0" fontId="15" numFmtId="165" xfId="0" applyAlignment="1" applyFont="1" applyNumberFormat="1">
      <alignment readingOrder="0" vertical="bottom"/>
    </xf>
    <xf borderId="0" fillId="0" fontId="1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6" numFmtId="165" xfId="0" applyAlignment="1" applyFont="1" applyNumberFormat="1">
      <alignment horizontal="right" vertical="bottom"/>
    </xf>
    <xf borderId="0" fillId="0" fontId="17" numFmtId="165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3" numFmtId="16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5" numFmtId="0" xfId="0" applyFont="1"/>
    <xf borderId="0" fillId="0" fontId="5" numFmtId="165" xfId="0" applyFont="1" applyNumberFormat="1"/>
    <xf borderId="0" fillId="0" fontId="8" numFmtId="0" xfId="0" applyFont="1"/>
    <xf borderId="0" fillId="0" fontId="20" numFmtId="165" xfId="0" applyFont="1" applyNumberFormat="1"/>
    <xf borderId="0" fillId="0" fontId="20" numFmtId="0" xfId="0" applyFont="1"/>
    <xf borderId="0" fillId="2" fontId="21" numFmtId="0" xfId="0" applyFill="1" applyFont="1"/>
    <xf borderId="0" fillId="0" fontId="16" numFmtId="0" xfId="0" applyAlignment="1" applyFont="1">
      <alignment readingOrder="0" vertical="bottom"/>
    </xf>
    <xf borderId="0" fillId="0" fontId="6" numFmtId="165" xfId="0" applyFont="1" applyNumberFormat="1"/>
    <xf borderId="0" fillId="0" fontId="22" numFmtId="0" xfId="0" applyAlignment="1" applyFont="1">
      <alignment readingOrder="0"/>
    </xf>
    <xf borderId="0" fillId="0" fontId="22" numFmtId="165" xfId="0" applyAlignment="1" applyFont="1" applyNumberFormat="1">
      <alignment readingOrder="0"/>
    </xf>
    <xf borderId="0" fillId="0" fontId="23" numFmtId="165" xfId="0" applyAlignment="1" applyFont="1" applyNumberFormat="1">
      <alignment horizontal="right" vertical="bottom"/>
    </xf>
    <xf borderId="0" fillId="0" fontId="22" numFmtId="0" xfId="0" applyFont="1"/>
    <xf borderId="0" fillId="0" fontId="22" numFmtId="165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3" fontId="24" numFmtId="165" xfId="0" applyAlignment="1" applyFill="1" applyFont="1" applyNumberFormat="1">
      <alignment horizontal="right" shrinkToFit="0" vertical="center" wrapText="0"/>
    </xf>
    <xf borderId="0" fillId="3" fontId="25" numFmtId="165" xfId="0" applyAlignment="1" applyFont="1" applyNumberFormat="1">
      <alignment horizontal="right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1"/>
    </xf>
    <xf borderId="0" fillId="0" fontId="26" numFmtId="0" xfId="0" applyAlignment="1" applyFont="1">
      <alignment readingOrder="0" shrinkToFit="0" wrapText="0"/>
    </xf>
    <xf borderId="0" fillId="0" fontId="2" numFmtId="165" xfId="0" applyAlignment="1" applyFont="1" applyNumberFormat="1">
      <alignment shrinkToFit="0" wrapText="1"/>
    </xf>
    <xf borderId="0" fillId="0" fontId="13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2" fontId="28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16" numFmtId="165" xfId="0" applyAlignment="1" applyFont="1" applyNumberFormat="1">
      <alignment vertical="bottom"/>
    </xf>
    <xf borderId="0" fillId="0" fontId="2" numFmtId="168" xfId="0" applyFont="1" applyNumberFormat="1"/>
    <xf borderId="0" fillId="0" fontId="2" numFmtId="169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7" numFmtId="169" xfId="0" applyAlignment="1" applyFont="1" applyNumberFormat="1">
      <alignment readingOrder="0"/>
    </xf>
    <xf borderId="0" fillId="0" fontId="16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4" fontId="29" numFmtId="0" xfId="0" applyAlignment="1" applyBorder="1" applyFill="1" applyFont="1">
      <alignment horizontal="left" readingOrder="0" shrinkToFit="0" vertical="center" wrapText="0"/>
    </xf>
    <xf borderId="0" fillId="4" fontId="29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2" fillId="2" fontId="24" numFmtId="0" xfId="0" applyAlignment="1" applyBorder="1" applyFont="1">
      <alignment horizontal="center" readingOrder="0" shrinkToFit="0" vertical="center" wrapText="0"/>
    </xf>
    <xf borderId="0" fillId="2" fontId="24" numFmtId="0" xfId="0" applyAlignment="1" applyFont="1">
      <alignment horizontal="center" readingOrder="0" shrinkToFit="0" vertical="center" wrapText="0"/>
    </xf>
    <xf borderId="3" fillId="2" fontId="24" numFmtId="0" xfId="0" applyAlignment="1" applyBorder="1" applyFont="1">
      <alignment horizontal="center" readingOrder="0" shrinkToFit="0" vertical="center" wrapText="0"/>
    </xf>
    <xf borderId="4" fillId="3" fontId="24" numFmtId="0" xfId="0" applyAlignment="1" applyBorder="1" applyFont="1">
      <alignment horizontal="center" readingOrder="0" shrinkToFit="0" vertical="center" wrapText="0"/>
    </xf>
    <xf borderId="0" fillId="3" fontId="24" numFmtId="0" xfId="0" applyAlignment="1" applyFont="1">
      <alignment horizontal="center" readingOrder="0" shrinkToFit="0" vertical="center" wrapText="0"/>
    </xf>
    <xf borderId="3" fillId="3" fontId="24" numFmtId="0" xfId="0" applyAlignment="1" applyBorder="1" applyFont="1">
      <alignment horizontal="center" readingOrder="0" shrinkToFit="0" vertical="center" wrapText="0"/>
    </xf>
    <xf borderId="5" fillId="3" fontId="24" numFmtId="0" xfId="0" applyAlignment="1" applyBorder="1" applyFont="1">
      <alignment horizontal="center" readingOrder="0" shrinkToFit="0" vertical="center" wrapText="0"/>
    </xf>
    <xf borderId="0" fillId="0" fontId="2" numFmtId="165" xfId="0" applyAlignment="1" applyFont="1" applyNumberFormat="1">
      <alignment readingOrder="0"/>
    </xf>
    <xf borderId="0" fillId="0" fontId="16" numFmtId="165" xfId="0" applyAlignment="1" applyFont="1" applyNumberFormat="1">
      <alignment readingOrder="0" vertical="bottom"/>
    </xf>
    <xf borderId="0" fillId="0" fontId="30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 shrinkToFit="0" wrapText="1"/>
    </xf>
    <xf borderId="0" fillId="0" fontId="13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4" numFmtId="164" xfId="0" applyFont="1" applyNumberFormat="1"/>
    <xf borderId="0" fillId="0" fontId="20" numFmtId="0" xfId="0" applyAlignment="1" applyFont="1">
      <alignment readingOrder="0"/>
    </xf>
    <xf borderId="0" fillId="0" fontId="20" numFmtId="164" xfId="0" applyFont="1" applyNumberFormat="1"/>
    <xf borderId="0" fillId="0" fontId="13" numFmtId="164" xfId="0" applyFont="1" applyNumberFormat="1"/>
    <xf borderId="0" fillId="0" fontId="13" numFmtId="165" xfId="0" applyFont="1" applyNumberFormat="1"/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wrapText="1"/>
    </xf>
    <xf borderId="0" fillId="0" fontId="3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8" numFmtId="165" xfId="0" applyFont="1" applyNumberFormat="1"/>
    <xf borderId="0" fillId="0" fontId="2" numFmtId="10" xfId="0" applyFont="1" applyNumberFormat="1"/>
    <xf borderId="0" fillId="0" fontId="32" numFmtId="0" xfId="0" applyAlignment="1" applyFont="1">
      <alignment readingOrder="0" vertical="bottom"/>
    </xf>
    <xf borderId="0" fillId="0" fontId="32" numFmtId="165" xfId="0" applyAlignment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C53929"/>
      </font>
      <fill>
        <patternFill patternType="none"/>
      </fill>
      <border/>
    </dxf>
  </dxfs>
  <tableStyles count="12">
    <tableStyle count="4" pivot="0" name="September of Totales y Transfe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Deuda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uen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2" pivot="0" name="Vacaciones-style">
      <tableStyleElement dxfId="4" type="firstRowStripe"/>
      <tableStyleElement dxfId="3" type="secondRowStripe"/>
    </tableStyle>
    <tableStyle count="2" pivot="0" name="Vacaciones-style 2">
      <tableStyleElement dxfId="4" type="firstRowStripe"/>
      <tableStyleElement dxfId="3" type="secondRowStripe"/>
    </tableStyle>
    <tableStyle count="2" pivot="0" name="Gastos Alimentos-style">
      <tableStyleElement dxfId="3" type="firstRowStripe"/>
      <tableStyleElement dxfId="4" type="secondRowStripe"/>
    </tableStyle>
    <tableStyle count="2" pivot="0" name="Gastos Generales-style">
      <tableStyleElement dxfId="3" type="firstRowStripe"/>
      <tableStyleElement dxfId="4" type="secondRowStripe"/>
    </tableStyle>
    <tableStyle count="2" pivot="0" name="Gastos Generales-style 2">
      <tableStyleElement dxfId="3" type="firstRowStripe"/>
      <tableStyleElement dxfId="4" type="secondRowStripe"/>
    </tableStyle>
    <tableStyle count="2" pivot="0" name="Gastos WE-style">
      <tableStyleElement dxfId="4" type="firstRowStripe"/>
      <tableStyleElement dxfId="3" type="secondRowStripe"/>
    </tableStyle>
    <tableStyle count="2" pivot="0" name="Gastos WE-style 2">
      <tableStyleElement dxfId="4" type="firstRowStripe"/>
      <tableStyleElement dxfId="3" type="secondRowStripe"/>
    </tableStyle>
    <tableStyle count="2" pivot="0" name="Gastos WE-style 3">
      <tableStyleElement dxfId="4" type="firstRowStripe"/>
      <tableStyleElement dxfId="3" type="secondRowStripe"/>
    </tableStyle>
    <tableStyle count="4" pivot="0" name="Totales y Transferencias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fredo Castañeda Sierra" id="{69d43bf5-96c4-4eef-a4a5-c646f1a4332d}" providerId="google-sheets"/>
  <x18tc:person displayName="Alfredo Castañeda Sierra" id="{8e27bbf1-7f05-479d-a5de-e9be028719ae}" providerId="google-sheets"/>
</x18tc:personList>
</file>

<file path=xl/tables/table1.xml><?xml version="1.0" encoding="utf-8"?>
<table xmlns="http://schemas.openxmlformats.org/spreadsheetml/2006/main" ref="A1:F11" displayName="Current_transactions_2" name="Current_transactions_2" id="1">
  <tableColumns count="6">
    <tableColumn name="Column 1" id="1"/>
    <tableColumn name="CLABE" id="2"/>
    <tableColumn name="Referencia en deposito" id="3"/>
    <tableColumn name="Total Mensual" id="4"/>
    <tableColumn name="Total quincenal" id="5"/>
    <tableColumn name="Programada" id="6"/>
  </tableColumns>
  <tableStyleInfo name="September of Totales y Transfer-style" showColumnStripes="0" showFirstColumn="1" showLastColumn="1" showRowStripes="1"/>
</table>
</file>

<file path=xl/tables/table2.xml><?xml version="1.0" encoding="utf-8"?>
<table xmlns="http://schemas.openxmlformats.org/spreadsheetml/2006/main" ref="A3:G46" displayName="Deuda_Total" name="Deuda_Total" id="2">
  <autoFilter ref="$A$3:$G$46"/>
  <tableColumns count="7">
    <tableColumn name="Concepto" id="1"/>
    <tableColumn name="Cantidad" id="2"/>
    <tableColumn name="# Mensualidades" id="3"/>
    <tableColumn name="Mensualidades Pagadas" id="4"/>
    <tableColumn name="Mensualidad " id="5"/>
    <tableColumn name="Restante" id="6"/>
    <tableColumn name="Tarjeta" id="7"/>
  </tableColumns>
  <tableStyleInfo name="Deuda-style" showColumnStripes="0" showFirstColumn="1" showLastColumn="1" showRowStripes="1"/>
</table>
</file>

<file path=xl/tables/table3.xml><?xml version="1.0" encoding="utf-8"?>
<table xmlns="http://schemas.openxmlformats.org/spreadsheetml/2006/main" ref="A1:E28" displayName="Table3" name="Table3" id="3">
  <tableColumns count="5">
    <tableColumn name="Nombre cuenta" id="1"/>
    <tableColumn name="Tipo" id="2"/>
    <tableColumn name="Codigo Referencia" id="3"/>
    <tableColumn name="Cuenta / Tarjeta" id="4"/>
    <tableColumn name="CLABE" id="5"/>
  </tableColumns>
  <tableStyleInfo name="Cuentas-style" showColumnStripes="0" showFirstColumn="1" showLastColumn="1" showRowStripes="1"/>
</table>
</file>

<file path=xl/tables/table4.xml><?xml version="1.0" encoding="utf-8"?>
<table xmlns="http://schemas.openxmlformats.org/spreadsheetml/2006/main" headerRowCount="0" ref="A3:C4" displayName="Table_1" name="Table_1" id="4">
  <tableColumns count="3">
    <tableColumn name="Column1" id="1"/>
    <tableColumn name="Column2" id="2"/>
    <tableColumn name="Column3" id="3"/>
  </tableColumns>
  <tableStyleInfo name="Vacaciones-style" showColumnStripes="0" showFirstColumn="1" showLastColumn="1" showRowStripes="1"/>
</table>
</file>

<file path=xl/tables/table5.xml><?xml version="1.0" encoding="utf-8"?>
<table xmlns="http://schemas.openxmlformats.org/spreadsheetml/2006/main" headerRowCount="0" ref="A5:C16" displayName="Table_2" name="Table_2" id="5">
  <tableColumns count="3">
    <tableColumn name="Column1" id="1"/>
    <tableColumn name="Column2" id="2"/>
    <tableColumn name="Column3" id="3"/>
  </tableColumns>
  <tableStyleInfo name="Vacaciones-style 2" showColumnStripes="0" showFirstColumn="1" showLastColumn="1" showRowStripes="1"/>
</table>
</file>

<file path=xl/tables/table6.xml><?xml version="1.0" encoding="utf-8"?>
<table xmlns="http://schemas.openxmlformats.org/spreadsheetml/2006/main" headerRowCount="0" ref="F2:G10" displayName="Table_3" name="Table_3" id="6">
  <tableColumns count="2">
    <tableColumn name="Column1" id="1"/>
    <tableColumn name="Column2" id="2"/>
  </tableColumns>
  <tableStyleInfo name="Gastos Alimentos-style" showColumnStripes="0" showFirstColumn="1" showLastColumn="1" showRowStripes="1"/>
</table>
</file>

<file path=xl/tables/table7.xml><?xml version="1.0" encoding="utf-8"?>
<table xmlns="http://schemas.openxmlformats.org/spreadsheetml/2006/main" headerRowCount="0" ref="M93:P93" displayName="Table_4" name="Table_4" id="7">
  <tableColumns count="4">
    <tableColumn name="Column1" id="1"/>
    <tableColumn name="Column2" id="2"/>
    <tableColumn name="Column3" id="3"/>
    <tableColumn name="Column4" id="4"/>
  </tableColumns>
  <tableStyleInfo name="Gastos Generales-style" showColumnStripes="0" showFirstColumn="1" showLastColumn="1" showRowStripes="1"/>
</table>
</file>

<file path=xl/tables/table8.xml><?xml version="1.0" encoding="utf-8"?>
<table xmlns="http://schemas.openxmlformats.org/spreadsheetml/2006/main" headerRowCount="0" ref="R114:T131" displayName="Table_5" name="Table_5" id="8">
  <tableColumns count="3">
    <tableColumn name="Column1" id="1"/>
    <tableColumn name="Column2" id="2"/>
    <tableColumn name="Column3" id="3"/>
  </tableColumns>
  <tableStyleInfo name="Gastos Generales-style 2" showColumnStripes="0" showFirstColumn="1" showLastColumn="1" showRowStripes="1"/>
</table>
</file>

<file path=xl/tables/table9.xml><?xml version="1.0" encoding="utf-8"?>
<table xmlns="http://schemas.openxmlformats.org/spreadsheetml/2006/main" headerRowCount="0" ref="P4:Q19" displayName="Table_6" name="Table_6" id="9">
  <tableColumns count="2">
    <tableColumn name="Column1" id="1"/>
    <tableColumn name="Column2" id="2"/>
  </tableColumns>
  <tableStyleInfo name="Gastos WE-style" showColumnStripes="0" showFirstColumn="1" showLastColumn="1" showRowStripes="1"/>
</table>
</file>

<file path=xl/tables/table10.xml><?xml version="1.0" encoding="utf-8"?>
<table xmlns="http://schemas.openxmlformats.org/spreadsheetml/2006/main" headerRowCount="0" ref="C5:H20" displayName="Table_7" name="Table_7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stos WE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81:C95" displayName="Table_8" name="Table_8" id="11">
  <tableColumns count="3">
    <tableColumn name="Column1" id="1"/>
    <tableColumn name="Column2" id="2"/>
    <tableColumn name="Column3" id="3"/>
  </tableColumns>
  <tableStyleInfo name="Gastos WE-style 3" showColumnStripes="0" showFirstColumn="1" showLastColumn="1" showRowStripes="1"/>
</table>
</file>

<file path=xl/tables/table12.xml><?xml version="1.0" encoding="utf-8"?>
<table xmlns="http://schemas.openxmlformats.org/spreadsheetml/2006/main" ref="A1:T11" displayName="Current_transactions" name="Current_transactions" id="12">
  <tableColumns count="20">
    <tableColumn name="Column 1" id="1"/>
    <tableColumn name="CLABE" id="2"/>
    <tableColumn name="Referencia en deposito" id="3"/>
    <tableColumn name="Total Mensual" id="4"/>
    <tableColumn name="Total quincenal" id="5"/>
    <tableColumn name="Programada" id="6"/>
    <tableColumn name="16/02/2025" id="7"/>
    <tableColumn name="01/03/2025" id="8"/>
    <tableColumn name="14/03/2025" id="9"/>
    <tableColumn name="31/03/2025" id="10"/>
    <tableColumn name="15/04/2025" id="11"/>
    <tableColumn name="30/04/2025" id="12"/>
    <tableColumn name="15/05/2025" id="13"/>
    <tableColumn name="31/05/2025" id="14"/>
    <tableColumn name="15/06/2025" id="15"/>
    <tableColumn name="30/06/2025" id="16"/>
    <tableColumn name="15/07/2025" id="17"/>
    <tableColumn name="31/07/25" id="18"/>
    <tableColumn name="15/08/25" id="19"/>
    <tableColumn name="31/08/25" id="20"/>
  </tableColumns>
  <tableStyleInfo name="Totales y Transfer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4" dT="2025-12-17T15:35:01.00" personId="{69d43bf5-96c4-4eef-a4a5-c646f1a4332d}" id="{71afef87-9749-4c65-aa31-a6b984d17fe1}" done="0">
    <x18tc:text xml:space="preserve">Astro Bot
Curso Dalia
Suscripcion playstation
Digital Ocean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45" dT="2025-12-12T07:22:56.00" personId="{69d43bf5-96c4-4eef-a4a5-c646f1a4332d}" id="{1552d428-c1ab-4baf-aed6-fc8abb556b18}" done="0">
    <x18tc:text xml:space="preserve">Casa toño Cumple Lena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0" dT="2025-12-04T03:19:14.00" personId="{69d43bf5-96c4-4eef-a4a5-c646f1a4332d}" id="{9475a5e0-3057-4fd7-afda-b462845052bc}" done="0">
    <x18tc:text xml:space="preserve">Liquido plagas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9" dT="2025-12-12T06:19:14.00" personId="{69d43bf5-96c4-4eef-a4a5-c646f1a4332d}" id="{cee5cb61-c3ba-4cd9-93fd-6aa5103217a5}" done="0">
    <x18tc:text xml:space="preserve">Prueba Vitamina D
Pato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5-03-03T05:08:03.00" personId="{8e27bbf1-7f05-479d-a5de-e9be028719ae}" id="{fb73d0c2-24d7-4eea-9be6-05d3b5c23618}" done="1">
    <x18tc:text xml:space="preserve">500 por clase, asumiendo 4 Miercoles por mes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9" Type="http://schemas.openxmlformats.org/officeDocument/2006/relationships/table" Target="../tables/table9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/>
  </sheetPr>
  <sheetViews>
    <sheetView workbookViewId="0"/>
  </sheetViews>
  <sheetFormatPr customHeight="1" defaultColWidth="12.63" defaultRowHeight="15.75" outlineLevelCol="1"/>
  <cols>
    <col customWidth="1" min="1" max="1" width="22.0"/>
    <col customWidth="1" min="2" max="2" width="17.25"/>
    <col customWidth="1" min="3" max="3" width="18.38"/>
    <col customWidth="1" min="4" max="4" width="17.25"/>
    <col customWidth="1" min="5" max="6" width="12.13" outlineLevel="1"/>
    <col customWidth="1" min="7" max="7" width="17.25" outlineLevel="1"/>
    <col customWidth="1" min="8" max="8" width="21.5"/>
    <col customWidth="1" min="9" max="9" width="24.13"/>
    <col customWidth="1" min="11" max="11" width="13.88"/>
    <col customWidth="1" min="16" max="16" width="14.25"/>
    <col customWidth="1" min="17" max="17" width="13.63"/>
    <col customWidth="1" min="18" max="18" width="15.5"/>
    <col customWidth="1" min="19" max="19" width="14.25"/>
    <col customWidth="1" min="20" max="20" width="18.0"/>
  </cols>
  <sheetData>
    <row r="1">
      <c r="A1" s="1" t="s">
        <v>0</v>
      </c>
      <c r="Q1" s="2" t="s">
        <v>1</v>
      </c>
      <c r="R1" s="2" t="s">
        <v>2</v>
      </c>
    </row>
    <row r="2">
      <c r="A2" s="3"/>
      <c r="B2" s="4"/>
      <c r="C2" s="4"/>
      <c r="D2" s="4"/>
      <c r="E2" s="4"/>
      <c r="F2" s="4"/>
      <c r="G2" s="4"/>
      <c r="H2" s="5"/>
      <c r="I2" s="6"/>
      <c r="Q2" s="7"/>
      <c r="R2" s="8"/>
    </row>
    <row r="3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5" t="s">
        <v>10</v>
      </c>
      <c r="I3" s="6" t="s">
        <v>11</v>
      </c>
      <c r="R3" s="8"/>
    </row>
    <row r="4" ht="18.75" customHeight="1">
      <c r="A4" s="9" t="s">
        <v>12</v>
      </c>
      <c r="B4" s="10">
        <f t="shared" ref="B4:B12" si="1">CEILING(F4,100)</f>
        <v>17500</v>
      </c>
      <c r="C4" s="10">
        <f t="shared" ref="C4:C12" si="2">CEILING(B4/2, 10)</f>
        <v>8750</v>
      </c>
      <c r="D4" s="9" t="b">
        <f t="shared" ref="D4:D12" si="3">IF(E4&gt;0, true)</f>
        <v>0</v>
      </c>
      <c r="E4" s="10"/>
      <c r="F4" s="10">
        <v>17500.0</v>
      </c>
      <c r="G4" s="11"/>
      <c r="H4" s="9" t="s">
        <v>13</v>
      </c>
      <c r="I4" s="9" t="s">
        <v>14</v>
      </c>
      <c r="R4" s="8"/>
    </row>
    <row r="5">
      <c r="A5" s="9" t="s">
        <v>15</v>
      </c>
      <c r="B5" s="10">
        <f t="shared" si="1"/>
        <v>12500</v>
      </c>
      <c r="C5" s="10">
        <f t="shared" si="2"/>
        <v>6250</v>
      </c>
      <c r="D5" s="9" t="b">
        <f t="shared" si="3"/>
        <v>0</v>
      </c>
      <c r="E5" s="10"/>
      <c r="F5" s="10">
        <v>12500.0</v>
      </c>
      <c r="G5" s="11"/>
      <c r="H5" s="9" t="s">
        <v>14</v>
      </c>
      <c r="I5" s="9" t="s">
        <v>14</v>
      </c>
      <c r="R5" s="8"/>
    </row>
    <row r="6">
      <c r="A6" s="9" t="s">
        <v>16</v>
      </c>
      <c r="B6" s="10">
        <f t="shared" si="1"/>
        <v>4400</v>
      </c>
      <c r="C6" s="10">
        <f t="shared" si="2"/>
        <v>2200</v>
      </c>
      <c r="D6" s="9" t="b">
        <f t="shared" si="3"/>
        <v>0</v>
      </c>
      <c r="E6" s="10"/>
      <c r="F6" s="10">
        <f>550*8</f>
        <v>4400</v>
      </c>
      <c r="G6" s="11" t="s">
        <v>17</v>
      </c>
      <c r="H6" s="9" t="s">
        <v>13</v>
      </c>
      <c r="I6" s="9" t="s">
        <v>18</v>
      </c>
      <c r="R6" s="8"/>
    </row>
    <row r="7">
      <c r="A7" s="9" t="s">
        <v>19</v>
      </c>
      <c r="B7" s="10">
        <f t="shared" si="1"/>
        <v>2500</v>
      </c>
      <c r="C7" s="10">
        <f t="shared" si="2"/>
        <v>1250</v>
      </c>
      <c r="D7" s="9" t="b">
        <f t="shared" si="3"/>
        <v>0</v>
      </c>
      <c r="E7" s="10"/>
      <c r="F7" s="10">
        <v>2500.0</v>
      </c>
      <c r="G7" s="11"/>
      <c r="H7" s="9" t="s">
        <v>14</v>
      </c>
      <c r="I7" s="9" t="s">
        <v>14</v>
      </c>
    </row>
    <row r="8">
      <c r="A8" s="9" t="s">
        <v>20</v>
      </c>
      <c r="B8" s="10">
        <f t="shared" si="1"/>
        <v>1600</v>
      </c>
      <c r="C8" s="10">
        <f t="shared" si="2"/>
        <v>800</v>
      </c>
      <c r="D8" s="9" t="b">
        <f t="shared" si="3"/>
        <v>1</v>
      </c>
      <c r="E8" s="10">
        <v>19000.0</v>
      </c>
      <c r="F8" s="10">
        <f>E8/12</f>
        <v>1583.333333</v>
      </c>
      <c r="G8" s="11" t="s">
        <v>21</v>
      </c>
      <c r="H8" s="9" t="s">
        <v>13</v>
      </c>
      <c r="I8" s="9" t="s">
        <v>22</v>
      </c>
    </row>
    <row r="9">
      <c r="A9" s="9" t="s">
        <v>23</v>
      </c>
      <c r="B9" s="10">
        <f t="shared" si="1"/>
        <v>1300</v>
      </c>
      <c r="C9" s="10">
        <f t="shared" si="2"/>
        <v>650</v>
      </c>
      <c r="D9" s="9" t="b">
        <f t="shared" si="3"/>
        <v>0</v>
      </c>
      <c r="E9" s="10"/>
      <c r="F9" s="10">
        <v>1270.0</v>
      </c>
      <c r="G9" s="11"/>
      <c r="H9" s="9" t="s">
        <v>13</v>
      </c>
      <c r="I9" s="9" t="s">
        <v>14</v>
      </c>
    </row>
    <row r="10">
      <c r="A10" s="9" t="s">
        <v>24</v>
      </c>
      <c r="B10" s="10">
        <f t="shared" si="1"/>
        <v>1300</v>
      </c>
      <c r="C10" s="10">
        <f t="shared" si="2"/>
        <v>650</v>
      </c>
      <c r="D10" s="9" t="b">
        <f t="shared" si="3"/>
        <v>0</v>
      </c>
      <c r="E10" s="10"/>
      <c r="F10" s="10">
        <v>1270.0</v>
      </c>
      <c r="G10" s="11"/>
      <c r="H10" s="9" t="s">
        <v>13</v>
      </c>
      <c r="I10" s="9" t="s">
        <v>14</v>
      </c>
    </row>
    <row r="11">
      <c r="A11" s="9" t="s">
        <v>25</v>
      </c>
      <c r="B11" s="10">
        <f t="shared" si="1"/>
        <v>1300</v>
      </c>
      <c r="C11" s="10">
        <f t="shared" si="2"/>
        <v>650</v>
      </c>
      <c r="D11" s="9" t="b">
        <f t="shared" si="3"/>
        <v>0</v>
      </c>
      <c r="E11" s="10"/>
      <c r="F11" s="10">
        <v>1250.0</v>
      </c>
      <c r="G11" s="11"/>
      <c r="H11" s="9" t="s">
        <v>13</v>
      </c>
      <c r="I11" s="9" t="s">
        <v>14</v>
      </c>
      <c r="K11" s="2"/>
    </row>
    <row r="12">
      <c r="A12" s="9" t="s">
        <v>26</v>
      </c>
      <c r="B12" s="10">
        <f t="shared" si="1"/>
        <v>1000</v>
      </c>
      <c r="C12" s="10">
        <f t="shared" si="2"/>
        <v>500</v>
      </c>
      <c r="D12" s="9" t="b">
        <f t="shared" si="3"/>
        <v>1</v>
      </c>
      <c r="E12" s="10">
        <v>12000.0</v>
      </c>
      <c r="F12" s="10">
        <f>E12/12</f>
        <v>1000</v>
      </c>
      <c r="G12" s="11"/>
      <c r="H12" s="9" t="s">
        <v>14</v>
      </c>
      <c r="I12" s="9" t="s">
        <v>22</v>
      </c>
      <c r="K12" s="2"/>
      <c r="L12" s="2"/>
      <c r="M12" s="7">
        <f>E8+E14+E22+E23+E25+E27+E28+E53+E54+E56+E72</f>
        <v>49839</v>
      </c>
      <c r="N12" s="2"/>
    </row>
    <row r="13">
      <c r="A13" s="9"/>
      <c r="B13" s="10"/>
      <c r="C13" s="10"/>
      <c r="D13" s="9"/>
      <c r="E13" s="10"/>
      <c r="F13" s="10"/>
      <c r="G13" s="11"/>
      <c r="H13" s="9"/>
      <c r="I13" s="9"/>
      <c r="K13" s="2"/>
      <c r="L13" s="2"/>
      <c r="M13" s="2"/>
      <c r="N13" s="2"/>
    </row>
    <row r="14">
      <c r="A14" s="9"/>
      <c r="B14" s="10"/>
      <c r="C14" s="10"/>
      <c r="D14" s="9"/>
      <c r="E14" s="10"/>
      <c r="F14" s="10"/>
      <c r="G14" s="11"/>
      <c r="H14" s="9"/>
      <c r="I14" s="9"/>
      <c r="K14" s="2"/>
      <c r="L14" s="2"/>
      <c r="M14" s="2"/>
      <c r="N14" s="2"/>
      <c r="P14" s="12"/>
      <c r="Q14" s="12"/>
      <c r="R14" s="13"/>
      <c r="S14" s="13"/>
      <c r="T14" s="13"/>
      <c r="U14" s="13"/>
    </row>
    <row r="15">
      <c r="A15" s="14" t="s">
        <v>27</v>
      </c>
      <c r="B15" s="7">
        <f t="shared" ref="B15:C15" si="4">SUM(B3:B14)</f>
        <v>43400</v>
      </c>
      <c r="C15" s="7">
        <f t="shared" si="4"/>
        <v>21700</v>
      </c>
      <c r="E15" s="15"/>
      <c r="F15" s="15">
        <f>SUM(F3:F14)</f>
        <v>43273.33333</v>
      </c>
      <c r="G15" s="11"/>
      <c r="I15" s="16"/>
    </row>
    <row r="16">
      <c r="G16" s="17"/>
    </row>
    <row r="17">
      <c r="A17" s="18" t="s">
        <v>28</v>
      </c>
      <c r="C17" s="19"/>
      <c r="E17" s="20"/>
      <c r="F17" s="20"/>
      <c r="G17" s="21"/>
      <c r="I17" s="22"/>
      <c r="M17" s="23">
        <f>62517+1700</f>
        <v>64217</v>
      </c>
    </row>
    <row r="18">
      <c r="A18" s="24"/>
      <c r="B18" s="25"/>
      <c r="C18" s="25"/>
      <c r="D18" s="26"/>
      <c r="E18" s="27"/>
      <c r="F18" s="27"/>
      <c r="G18" s="28"/>
      <c r="H18" s="26"/>
      <c r="I18" s="29"/>
    </row>
    <row r="19">
      <c r="A19" s="3" t="s">
        <v>3</v>
      </c>
      <c r="B19" s="4" t="s">
        <v>4</v>
      </c>
      <c r="C19" s="4" t="s">
        <v>5</v>
      </c>
      <c r="D19" s="4" t="s">
        <v>6</v>
      </c>
      <c r="E19" s="4"/>
      <c r="F19" s="4"/>
      <c r="G19" s="28"/>
      <c r="H19" s="5" t="s">
        <v>10</v>
      </c>
      <c r="I19" s="5" t="s">
        <v>29</v>
      </c>
    </row>
    <row r="20">
      <c r="A20" s="9" t="s">
        <v>30</v>
      </c>
      <c r="B20" s="30">
        <f t="shared" ref="B20:B29" si="5">CEILING(F20,100)</f>
        <v>3900</v>
      </c>
      <c r="C20" s="31">
        <f t="shared" ref="C20:C29" si="6">CEILING(B20/2, 10)</f>
        <v>1950</v>
      </c>
      <c r="D20" s="9" t="b">
        <f t="shared" ref="D20:D29" si="7">IF(E20&gt;0, true)</f>
        <v>0</v>
      </c>
      <c r="E20" s="10"/>
      <c r="F20" s="10">
        <v>3850.0</v>
      </c>
      <c r="G20" s="11"/>
      <c r="H20" s="9" t="s">
        <v>13</v>
      </c>
      <c r="I20" s="9" t="s">
        <v>31</v>
      </c>
    </row>
    <row r="21">
      <c r="A21" s="32" t="s">
        <v>32</v>
      </c>
      <c r="B21" s="30">
        <f t="shared" si="5"/>
        <v>400</v>
      </c>
      <c r="C21" s="31">
        <f t="shared" si="6"/>
        <v>200</v>
      </c>
      <c r="D21" s="9" t="b">
        <f t="shared" si="7"/>
        <v>0</v>
      </c>
      <c r="E21" s="33"/>
      <c r="F21" s="33">
        <v>350.0</v>
      </c>
      <c r="G21" s="34"/>
      <c r="H21" s="9" t="s">
        <v>33</v>
      </c>
      <c r="I21" s="9" t="s">
        <v>31</v>
      </c>
    </row>
    <row r="22">
      <c r="A22" s="32" t="s">
        <v>34</v>
      </c>
      <c r="B22" s="30">
        <f t="shared" si="5"/>
        <v>300</v>
      </c>
      <c r="C22" s="31">
        <f t="shared" si="6"/>
        <v>150</v>
      </c>
      <c r="D22" s="9" t="b">
        <f t="shared" si="7"/>
        <v>1</v>
      </c>
      <c r="E22" s="33">
        <v>3300.0</v>
      </c>
      <c r="F22" s="33">
        <f t="shared" ref="F22:F23" si="8">E22/12</f>
        <v>275</v>
      </c>
      <c r="G22" s="35"/>
      <c r="H22" s="9" t="s">
        <v>13</v>
      </c>
      <c r="I22" s="9" t="s">
        <v>22</v>
      </c>
    </row>
    <row r="23">
      <c r="A23" s="32" t="s">
        <v>35</v>
      </c>
      <c r="B23" s="30">
        <f t="shared" si="5"/>
        <v>200</v>
      </c>
      <c r="C23" s="31">
        <f t="shared" si="6"/>
        <v>100</v>
      </c>
      <c r="D23" s="9" t="b">
        <f t="shared" si="7"/>
        <v>1</v>
      </c>
      <c r="E23" s="33">
        <v>2400.0</v>
      </c>
      <c r="F23" s="33">
        <f t="shared" si="8"/>
        <v>200</v>
      </c>
      <c r="G23" s="34"/>
      <c r="H23" s="9" t="s">
        <v>33</v>
      </c>
      <c r="I23" s="9" t="s">
        <v>31</v>
      </c>
    </row>
    <row r="24">
      <c r="A24" s="36" t="s">
        <v>36</v>
      </c>
      <c r="B24" s="30">
        <f t="shared" si="5"/>
        <v>200</v>
      </c>
      <c r="C24" s="31">
        <f t="shared" si="6"/>
        <v>100</v>
      </c>
      <c r="D24" s="9" t="b">
        <f t="shared" si="7"/>
        <v>0</v>
      </c>
      <c r="E24" s="33"/>
      <c r="F24" s="33">
        <v>199.0</v>
      </c>
      <c r="G24" s="34"/>
      <c r="H24" s="9" t="s">
        <v>33</v>
      </c>
      <c r="I24" s="9" t="s">
        <v>31</v>
      </c>
    </row>
    <row r="25">
      <c r="A25" s="36" t="s">
        <v>37</v>
      </c>
      <c r="B25" s="30">
        <f t="shared" si="5"/>
        <v>200</v>
      </c>
      <c r="C25" s="31">
        <f t="shared" si="6"/>
        <v>100</v>
      </c>
      <c r="D25" s="9" t="b">
        <f t="shared" si="7"/>
        <v>1</v>
      </c>
      <c r="E25" s="30">
        <v>1990.0</v>
      </c>
      <c r="F25" s="30">
        <f>E25/12</f>
        <v>165.8333333</v>
      </c>
      <c r="G25" s="37"/>
      <c r="H25" s="9" t="s">
        <v>13</v>
      </c>
      <c r="I25" s="9" t="s">
        <v>22</v>
      </c>
    </row>
    <row r="26" ht="18.75" customHeight="1">
      <c r="A26" s="32" t="s">
        <v>38</v>
      </c>
      <c r="B26" s="30">
        <f t="shared" si="5"/>
        <v>200</v>
      </c>
      <c r="C26" s="31">
        <f t="shared" si="6"/>
        <v>100</v>
      </c>
      <c r="D26" s="9" t="b">
        <f t="shared" si="7"/>
        <v>0</v>
      </c>
      <c r="E26" s="31"/>
      <c r="F26" s="33">
        <v>130.0</v>
      </c>
      <c r="G26" s="35"/>
      <c r="H26" s="9" t="s">
        <v>13</v>
      </c>
      <c r="I26" s="9" t="s">
        <v>31</v>
      </c>
    </row>
    <row r="27" ht="21.0" customHeight="1">
      <c r="A27" s="32" t="s">
        <v>39</v>
      </c>
      <c r="B27" s="30">
        <f t="shared" si="5"/>
        <v>100</v>
      </c>
      <c r="C27" s="31">
        <f t="shared" si="6"/>
        <v>50</v>
      </c>
      <c r="D27" s="9" t="b">
        <f t="shared" si="7"/>
        <v>1</v>
      </c>
      <c r="E27" s="33">
        <v>899.0</v>
      </c>
      <c r="F27" s="33">
        <f t="shared" ref="F27:F28" si="9">E27/12</f>
        <v>74.91666667</v>
      </c>
      <c r="G27" s="35"/>
      <c r="H27" s="9" t="s">
        <v>13</v>
      </c>
      <c r="I27" s="9" t="s">
        <v>22</v>
      </c>
    </row>
    <row r="28" ht="20.25" customHeight="1">
      <c r="A28" s="32" t="s">
        <v>40</v>
      </c>
      <c r="B28" s="30">
        <f t="shared" si="5"/>
        <v>100</v>
      </c>
      <c r="C28" s="31">
        <f t="shared" si="6"/>
        <v>50</v>
      </c>
      <c r="D28" s="9" t="b">
        <f t="shared" si="7"/>
        <v>1</v>
      </c>
      <c r="E28" s="33">
        <v>750.0</v>
      </c>
      <c r="F28" s="33">
        <f t="shared" si="9"/>
        <v>62.5</v>
      </c>
      <c r="G28" s="35"/>
      <c r="H28" s="9" t="s">
        <v>13</v>
      </c>
      <c r="I28" s="9" t="s">
        <v>22</v>
      </c>
    </row>
    <row r="29">
      <c r="A29" s="32" t="s">
        <v>41</v>
      </c>
      <c r="B29" s="30">
        <f t="shared" si="5"/>
        <v>0</v>
      </c>
      <c r="C29" s="31">
        <f t="shared" si="6"/>
        <v>0</v>
      </c>
      <c r="D29" s="9" t="b">
        <f t="shared" si="7"/>
        <v>0</v>
      </c>
      <c r="E29" s="33"/>
      <c r="F29" s="33"/>
      <c r="G29" s="34"/>
      <c r="H29" s="9" t="s">
        <v>13</v>
      </c>
      <c r="I29" s="9" t="s">
        <v>31</v>
      </c>
    </row>
    <row r="30" ht="21.0" customHeight="1">
      <c r="A30" s="2"/>
      <c r="B30" s="7"/>
      <c r="C30" s="7"/>
      <c r="E30" s="15"/>
      <c r="F30" s="15"/>
      <c r="G30" s="11"/>
      <c r="H30" s="16"/>
      <c r="I30" s="38"/>
    </row>
    <row r="31" ht="14.25" customHeight="1">
      <c r="A31" s="2" t="s">
        <v>27</v>
      </c>
      <c r="B31" s="7">
        <f t="shared" ref="B31:C31" si="10">SUM(B20:B29)</f>
        <v>5600</v>
      </c>
      <c r="C31" s="7">
        <f t="shared" si="10"/>
        <v>2800</v>
      </c>
      <c r="E31" s="15"/>
      <c r="F31" s="15">
        <f>SUM(F20:F29)</f>
        <v>5307.25</v>
      </c>
      <c r="G31" s="11"/>
      <c r="H31" s="16"/>
      <c r="I31" s="38"/>
    </row>
    <row r="32" ht="14.25" customHeight="1">
      <c r="A32" s="39"/>
      <c r="B32" s="40"/>
      <c r="C32" s="40"/>
      <c r="E32" s="41"/>
      <c r="F32" s="41"/>
      <c r="G32" s="35"/>
      <c r="I32" s="42"/>
    </row>
    <row r="33">
      <c r="A33" s="1" t="s">
        <v>42</v>
      </c>
      <c r="C33" s="43"/>
      <c r="E33" s="44"/>
      <c r="F33" s="44"/>
      <c r="G33" s="45"/>
      <c r="I33" s="29"/>
    </row>
    <row r="34">
      <c r="A34" s="3" t="s">
        <v>3</v>
      </c>
      <c r="B34" s="4" t="s">
        <v>4</v>
      </c>
      <c r="C34" s="4" t="s">
        <v>5</v>
      </c>
      <c r="D34" s="4" t="s">
        <v>6</v>
      </c>
      <c r="E34" s="4"/>
      <c r="F34" s="4"/>
      <c r="G34" s="28"/>
      <c r="H34" s="5" t="s">
        <v>10</v>
      </c>
      <c r="I34" s="5" t="s">
        <v>29</v>
      </c>
    </row>
    <row r="35">
      <c r="A35" s="9" t="s">
        <v>43</v>
      </c>
      <c r="B35" s="10">
        <f t="shared" ref="B35:B37" si="11">CEILING(F35,100)</f>
        <v>1200</v>
      </c>
      <c r="C35" s="31">
        <f t="shared" ref="C35:C37" si="12">CEILING(B35/2, 10)</f>
        <v>600</v>
      </c>
      <c r="D35" s="9" t="b">
        <f t="shared" ref="D35:D37" si="13">IF(E35&gt;0, true)</f>
        <v>0</v>
      </c>
      <c r="E35" s="10"/>
      <c r="F35" s="10">
        <v>1200.0</v>
      </c>
      <c r="G35" s="11"/>
      <c r="H35" s="9" t="s">
        <v>44</v>
      </c>
      <c r="I35" s="9" t="s">
        <v>45</v>
      </c>
    </row>
    <row r="36">
      <c r="A36" s="9" t="s">
        <v>46</v>
      </c>
      <c r="B36" s="10">
        <f t="shared" si="11"/>
        <v>500</v>
      </c>
      <c r="C36" s="31">
        <f t="shared" si="12"/>
        <v>250</v>
      </c>
      <c r="D36" s="9" t="b">
        <f t="shared" si="13"/>
        <v>0</v>
      </c>
      <c r="E36" s="10"/>
      <c r="F36" s="10">
        <v>500.0</v>
      </c>
      <c r="G36" s="11"/>
      <c r="H36" s="9" t="s">
        <v>33</v>
      </c>
      <c r="I36" s="9" t="s">
        <v>31</v>
      </c>
    </row>
    <row r="37">
      <c r="A37" s="9" t="s">
        <v>47</v>
      </c>
      <c r="B37" s="10">
        <f t="shared" si="11"/>
        <v>500</v>
      </c>
      <c r="C37" s="31">
        <f t="shared" si="12"/>
        <v>250</v>
      </c>
      <c r="D37" s="9" t="b">
        <f t="shared" si="13"/>
        <v>0</v>
      </c>
      <c r="E37" s="10"/>
      <c r="F37" s="10">
        <v>500.0</v>
      </c>
      <c r="G37" s="11"/>
      <c r="H37" s="9" t="s">
        <v>33</v>
      </c>
      <c r="I37" s="9" t="s">
        <v>31</v>
      </c>
    </row>
    <row r="38">
      <c r="A38" s="46"/>
      <c r="B38" s="46"/>
      <c r="C38" s="46"/>
      <c r="D38" s="46"/>
      <c r="E38" s="46"/>
      <c r="F38" s="46"/>
      <c r="G38" s="17"/>
      <c r="H38" s="46"/>
      <c r="I38" s="46"/>
    </row>
    <row r="39">
      <c r="A39" s="9" t="s">
        <v>27</v>
      </c>
      <c r="B39" s="47">
        <f t="shared" ref="B39:C39" si="14">SUM(B35:B38)</f>
        <v>2200</v>
      </c>
      <c r="C39" s="47">
        <f t="shared" si="14"/>
        <v>1100</v>
      </c>
      <c r="D39" s="46"/>
      <c r="E39" s="46"/>
      <c r="F39" s="47">
        <f>SUM(F35:F38)</f>
        <v>2200</v>
      </c>
      <c r="G39" s="17"/>
      <c r="H39" s="46"/>
      <c r="I39" s="46"/>
    </row>
    <row r="40">
      <c r="E40" s="48"/>
      <c r="F40" s="48"/>
      <c r="G40" s="17"/>
    </row>
    <row r="41">
      <c r="A41" s="1" t="s">
        <v>48</v>
      </c>
      <c r="C41" s="49"/>
      <c r="E41" s="44"/>
      <c r="F41" s="44"/>
      <c r="G41" s="45"/>
      <c r="I41" s="50"/>
    </row>
    <row r="42">
      <c r="A42" s="3" t="s">
        <v>3</v>
      </c>
      <c r="B42" s="4" t="s">
        <v>4</v>
      </c>
      <c r="C42" s="4" t="s">
        <v>5</v>
      </c>
      <c r="D42" s="4" t="s">
        <v>6</v>
      </c>
      <c r="E42" s="4"/>
      <c r="F42" s="4"/>
      <c r="G42" s="28"/>
      <c r="H42" s="5" t="s">
        <v>10</v>
      </c>
      <c r="I42" s="5" t="s">
        <v>29</v>
      </c>
    </row>
    <row r="43">
      <c r="A43" s="9" t="s">
        <v>49</v>
      </c>
      <c r="B43" s="10">
        <f t="shared" ref="B43:B45" si="15">CEILING(F43,100)</f>
        <v>800</v>
      </c>
      <c r="C43" s="31">
        <f t="shared" ref="C43:C45" si="16">CEILING(B43/2, 10)</f>
        <v>400</v>
      </c>
      <c r="D43" s="9" t="b">
        <f t="shared" ref="D43:D45" si="17">IF(E43&gt;0, true)</f>
        <v>0</v>
      </c>
      <c r="E43" s="10"/>
      <c r="F43" s="10">
        <v>800.0</v>
      </c>
      <c r="G43" s="11"/>
      <c r="H43" s="9" t="s">
        <v>18</v>
      </c>
      <c r="I43" s="9" t="s">
        <v>50</v>
      </c>
      <c r="M43" s="51"/>
    </row>
    <row r="44">
      <c r="A44" s="9" t="s">
        <v>51</v>
      </c>
      <c r="B44" s="10">
        <f t="shared" si="15"/>
        <v>0</v>
      </c>
      <c r="C44" s="31">
        <f t="shared" si="16"/>
        <v>0</v>
      </c>
      <c r="D44" s="9" t="b">
        <f t="shared" si="17"/>
        <v>0</v>
      </c>
      <c r="E44" s="10"/>
      <c r="F44" s="10"/>
      <c r="G44" s="11"/>
      <c r="H44" s="9" t="s">
        <v>18</v>
      </c>
      <c r="I44" s="9" t="s">
        <v>52</v>
      </c>
      <c r="K44" s="8"/>
      <c r="L44" s="8"/>
      <c r="M44" s="8"/>
    </row>
    <row r="45">
      <c r="A45" s="9" t="s">
        <v>53</v>
      </c>
      <c r="B45" s="10">
        <f t="shared" si="15"/>
        <v>0</v>
      </c>
      <c r="C45" s="31">
        <f t="shared" si="16"/>
        <v>0</v>
      </c>
      <c r="D45" s="9" t="b">
        <f t="shared" si="17"/>
        <v>0</v>
      </c>
      <c r="E45" s="10"/>
      <c r="F45" s="10"/>
      <c r="G45" s="11"/>
      <c r="H45" s="9" t="s">
        <v>22</v>
      </c>
      <c r="I45" s="9" t="s">
        <v>22</v>
      </c>
      <c r="L45" s="8"/>
      <c r="M45" s="8"/>
    </row>
    <row r="46">
      <c r="A46" s="9"/>
      <c r="B46" s="46"/>
      <c r="C46" s="46"/>
      <c r="D46" s="46"/>
      <c r="E46" s="46"/>
      <c r="F46" s="46"/>
      <c r="G46" s="17"/>
      <c r="H46" s="46"/>
      <c r="I46" s="46"/>
      <c r="L46" s="8"/>
      <c r="M46" s="8"/>
    </row>
    <row r="47">
      <c r="A47" s="9" t="s">
        <v>27</v>
      </c>
      <c r="B47" s="47">
        <f t="shared" ref="B47:C47" si="18">SUM(B43:B45)</f>
        <v>800</v>
      </c>
      <c r="C47" s="47">
        <f t="shared" si="18"/>
        <v>400</v>
      </c>
      <c r="D47" s="46"/>
      <c r="E47" s="46"/>
      <c r="F47" s="47">
        <f>SUM(F43:F45)</f>
        <v>800</v>
      </c>
      <c r="G47" s="17"/>
      <c r="H47" s="46"/>
      <c r="I47" s="46"/>
      <c r="L47" s="8"/>
      <c r="M47" s="8"/>
    </row>
    <row r="48">
      <c r="A48" s="2"/>
      <c r="E48" s="48"/>
      <c r="F48" s="48"/>
      <c r="G48" s="17"/>
      <c r="L48" s="8"/>
      <c r="M48" s="8"/>
    </row>
    <row r="49">
      <c r="A49" s="1" t="s">
        <v>54</v>
      </c>
      <c r="E49" s="44"/>
      <c r="F49" s="44"/>
      <c r="G49" s="45"/>
      <c r="L49" s="8"/>
      <c r="M49" s="8"/>
    </row>
    <row r="50">
      <c r="A50" s="3" t="s">
        <v>3</v>
      </c>
      <c r="B50" s="4" t="s">
        <v>4</v>
      </c>
      <c r="C50" s="4" t="s">
        <v>5</v>
      </c>
      <c r="D50" s="4" t="s">
        <v>6</v>
      </c>
      <c r="E50" s="4"/>
      <c r="F50" s="4"/>
      <c r="G50" s="28"/>
      <c r="H50" s="5" t="s">
        <v>10</v>
      </c>
      <c r="I50" s="5" t="s">
        <v>29</v>
      </c>
      <c r="L50" s="8"/>
      <c r="M50" s="8"/>
    </row>
    <row r="51">
      <c r="A51" s="9" t="s">
        <v>55</v>
      </c>
      <c r="B51" s="10">
        <f t="shared" ref="B51:B57" si="19">CEILING(F51,100)</f>
        <v>11000</v>
      </c>
      <c r="C51" s="31">
        <f t="shared" ref="C51:C57" si="20">CEILING(B51/2, 10)</f>
        <v>5500</v>
      </c>
      <c r="D51" s="9" t="b">
        <f t="shared" ref="D51:D57" si="21">IF(E51&gt;0, true)</f>
        <v>0</v>
      </c>
      <c r="E51" s="10"/>
      <c r="F51" s="10">
        <v>11000.0</v>
      </c>
      <c r="G51" s="11"/>
      <c r="H51" s="9" t="s">
        <v>18</v>
      </c>
      <c r="I51" s="9" t="s">
        <v>56</v>
      </c>
      <c r="K51" s="52"/>
      <c r="L51" s="8"/>
      <c r="M51" s="8"/>
    </row>
    <row r="52">
      <c r="A52" s="9" t="s">
        <v>57</v>
      </c>
      <c r="B52" s="10">
        <f t="shared" si="19"/>
        <v>3600</v>
      </c>
      <c r="C52" s="31">
        <f t="shared" si="20"/>
        <v>1800</v>
      </c>
      <c r="D52" s="9" t="b">
        <f t="shared" si="21"/>
        <v>0</v>
      </c>
      <c r="E52" s="10"/>
      <c r="F52" s="10">
        <f>1200*3</f>
        <v>3600</v>
      </c>
      <c r="G52" s="11"/>
      <c r="H52" s="9" t="s">
        <v>33</v>
      </c>
      <c r="I52" s="9" t="s">
        <v>56</v>
      </c>
    </row>
    <row r="53">
      <c r="A53" s="9" t="s">
        <v>58</v>
      </c>
      <c r="B53" s="10">
        <f t="shared" si="19"/>
        <v>800</v>
      </c>
      <c r="C53" s="31">
        <f t="shared" si="20"/>
        <v>400</v>
      </c>
      <c r="D53" s="9" t="b">
        <f t="shared" si="21"/>
        <v>1</v>
      </c>
      <c r="E53" s="10">
        <v>8500.0</v>
      </c>
      <c r="F53" s="10">
        <f t="shared" ref="F53:F54" si="22">E53/12</f>
        <v>708.3333333</v>
      </c>
      <c r="G53" s="11"/>
      <c r="H53" s="9" t="s">
        <v>33</v>
      </c>
      <c r="I53" s="9" t="s">
        <v>56</v>
      </c>
      <c r="L53" s="8"/>
      <c r="M53" s="8"/>
      <c r="X53" s="23" t="str">
        <f>#REF!+#REF!+Deuda!E4+#REF!+#REF!+#REF!</f>
        <v>#REF!</v>
      </c>
    </row>
    <row r="54">
      <c r="A54" s="9" t="s">
        <v>59</v>
      </c>
      <c r="B54" s="10">
        <f t="shared" si="19"/>
        <v>800</v>
      </c>
      <c r="C54" s="31">
        <f t="shared" si="20"/>
        <v>400</v>
      </c>
      <c r="D54" s="9" t="b">
        <f t="shared" si="21"/>
        <v>1</v>
      </c>
      <c r="E54" s="10">
        <v>9000.0</v>
      </c>
      <c r="F54" s="10">
        <f t="shared" si="22"/>
        <v>750</v>
      </c>
      <c r="G54" s="11"/>
      <c r="H54" s="9" t="s">
        <v>33</v>
      </c>
      <c r="I54" s="9" t="s">
        <v>56</v>
      </c>
    </row>
    <row r="55">
      <c r="A55" s="9" t="s">
        <v>60</v>
      </c>
      <c r="B55" s="10">
        <f t="shared" si="19"/>
        <v>500</v>
      </c>
      <c r="C55" s="31">
        <f t="shared" si="20"/>
        <v>250</v>
      </c>
      <c r="D55" s="9" t="b">
        <f t="shared" si="21"/>
        <v>0</v>
      </c>
      <c r="E55" s="10"/>
      <c r="F55" s="10">
        <f>250*2</f>
        <v>500</v>
      </c>
      <c r="G55" s="11" t="s">
        <v>61</v>
      </c>
      <c r="H55" s="9" t="s">
        <v>33</v>
      </c>
      <c r="I55" s="9" t="s">
        <v>56</v>
      </c>
    </row>
    <row r="56">
      <c r="A56" s="9" t="s">
        <v>62</v>
      </c>
      <c r="B56" s="10">
        <f t="shared" si="19"/>
        <v>300</v>
      </c>
      <c r="C56" s="31">
        <f t="shared" si="20"/>
        <v>150</v>
      </c>
      <c r="D56" s="9" t="b">
        <f t="shared" si="21"/>
        <v>1</v>
      </c>
      <c r="E56" s="10">
        <v>3000.0</v>
      </c>
      <c r="F56" s="10">
        <f t="shared" ref="F56:F57" si="23">E56/12</f>
        <v>250</v>
      </c>
      <c r="G56" s="11"/>
      <c r="H56" s="9" t="s">
        <v>33</v>
      </c>
      <c r="I56" s="9" t="s">
        <v>56</v>
      </c>
    </row>
    <row r="57">
      <c r="A57" s="9" t="s">
        <v>63</v>
      </c>
      <c r="B57" s="10">
        <f t="shared" si="19"/>
        <v>200</v>
      </c>
      <c r="C57" s="31">
        <f t="shared" si="20"/>
        <v>100</v>
      </c>
      <c r="D57" s="9" t="b">
        <f t="shared" si="21"/>
        <v>1</v>
      </c>
      <c r="E57" s="10">
        <f>738*2</f>
        <v>1476</v>
      </c>
      <c r="F57" s="10">
        <f t="shared" si="23"/>
        <v>123</v>
      </c>
      <c r="G57" s="11"/>
      <c r="H57" s="9" t="s">
        <v>33</v>
      </c>
      <c r="I57" s="9" t="s">
        <v>56</v>
      </c>
    </row>
    <row r="58">
      <c r="A58" s="46"/>
      <c r="B58" s="46"/>
      <c r="C58" s="46"/>
      <c r="D58" s="46"/>
      <c r="E58" s="46"/>
      <c r="F58" s="46"/>
      <c r="G58" s="17"/>
      <c r="H58" s="46"/>
      <c r="I58" s="46"/>
    </row>
    <row r="59">
      <c r="A59" s="9" t="s">
        <v>27</v>
      </c>
      <c r="B59" s="47">
        <f t="shared" ref="B59:C59" si="24">SUM(B51:B58)</f>
        <v>17200</v>
      </c>
      <c r="C59" s="47">
        <f t="shared" si="24"/>
        <v>8600</v>
      </c>
      <c r="D59" s="46"/>
      <c r="E59" s="46"/>
      <c r="F59" s="47">
        <f>SUM(F51:F57)</f>
        <v>16931.33333</v>
      </c>
      <c r="G59" s="17"/>
      <c r="H59" s="46"/>
      <c r="I59" s="46"/>
    </row>
    <row r="60">
      <c r="E60" s="48"/>
      <c r="F60" s="48"/>
      <c r="G60" s="17"/>
    </row>
    <row r="61">
      <c r="A61" s="1" t="s">
        <v>64</v>
      </c>
      <c r="E61" s="44"/>
      <c r="F61" s="44"/>
      <c r="G61" s="45"/>
    </row>
    <row r="62">
      <c r="A62" s="3" t="s">
        <v>3</v>
      </c>
      <c r="B62" s="4" t="s">
        <v>4</v>
      </c>
      <c r="C62" s="4" t="s">
        <v>5</v>
      </c>
      <c r="D62" s="4" t="s">
        <v>6</v>
      </c>
      <c r="E62" s="4"/>
      <c r="F62" s="4"/>
      <c r="G62" s="28"/>
      <c r="H62" s="5" t="s">
        <v>10</v>
      </c>
      <c r="I62" s="5" t="s">
        <v>29</v>
      </c>
    </row>
    <row r="63">
      <c r="A63" s="9" t="s">
        <v>65</v>
      </c>
      <c r="B63" s="10">
        <f t="shared" ref="B63:B74" si="25">CEILING(F63,100)</f>
        <v>37500</v>
      </c>
      <c r="C63" s="31">
        <f t="shared" ref="C63:C74" si="26">CEILING(B63/2, 10)</f>
        <v>18750</v>
      </c>
      <c r="D63" s="9" t="b">
        <f t="shared" ref="D63:D74" si="27">IF(E63&gt;0, true)</f>
        <v>0</v>
      </c>
      <c r="E63" s="10"/>
      <c r="F63" s="10">
        <v>37500.0</v>
      </c>
      <c r="G63" s="11"/>
      <c r="H63" s="9" t="s">
        <v>18</v>
      </c>
      <c r="I63" s="9" t="s">
        <v>66</v>
      </c>
    </row>
    <row r="64">
      <c r="A64" s="9" t="s">
        <v>67</v>
      </c>
      <c r="B64" s="10">
        <f t="shared" si="25"/>
        <v>18000</v>
      </c>
      <c r="C64" s="31">
        <f t="shared" si="26"/>
        <v>9000</v>
      </c>
      <c r="D64" s="9" t="b">
        <f t="shared" si="27"/>
        <v>0</v>
      </c>
      <c r="E64" s="10"/>
      <c r="F64" s="10">
        <v>18000.0</v>
      </c>
      <c r="G64" s="11"/>
      <c r="H64" s="9" t="s">
        <v>44</v>
      </c>
      <c r="I64" s="9" t="s">
        <v>45</v>
      </c>
    </row>
    <row r="65">
      <c r="A65" s="9" t="s">
        <v>68</v>
      </c>
      <c r="B65" s="10">
        <f t="shared" si="25"/>
        <v>3600</v>
      </c>
      <c r="C65" s="31">
        <f t="shared" si="26"/>
        <v>1800</v>
      </c>
      <c r="D65" s="9" t="b">
        <f t="shared" si="27"/>
        <v>0</v>
      </c>
      <c r="E65" s="47"/>
      <c r="F65" s="47">
        <f>450*8</f>
        <v>3600</v>
      </c>
      <c r="G65" s="11" t="s">
        <v>69</v>
      </c>
      <c r="H65" s="9" t="s">
        <v>18</v>
      </c>
      <c r="I65" s="9" t="s">
        <v>18</v>
      </c>
    </row>
    <row r="66">
      <c r="A66" s="9" t="s">
        <v>70</v>
      </c>
      <c r="B66" s="10">
        <f t="shared" si="25"/>
        <v>2000</v>
      </c>
      <c r="C66" s="31">
        <f t="shared" si="26"/>
        <v>1000</v>
      </c>
      <c r="D66" s="9" t="b">
        <f t="shared" si="27"/>
        <v>0</v>
      </c>
      <c r="E66" s="47"/>
      <c r="F66" s="47">
        <f>500*4</f>
        <v>2000</v>
      </c>
      <c r="G66" s="11" t="s">
        <v>71</v>
      </c>
      <c r="H66" s="9" t="s">
        <v>18</v>
      </c>
      <c r="I66" s="9" t="s">
        <v>18</v>
      </c>
    </row>
    <row r="67">
      <c r="A67" s="9" t="s">
        <v>72</v>
      </c>
      <c r="B67" s="10">
        <f t="shared" si="25"/>
        <v>1800</v>
      </c>
      <c r="C67" s="31">
        <f t="shared" si="26"/>
        <v>900</v>
      </c>
      <c r="D67" s="9" t="b">
        <f t="shared" si="27"/>
        <v>0</v>
      </c>
      <c r="E67" s="10"/>
      <c r="F67" s="10">
        <v>1800.0</v>
      </c>
      <c r="G67" s="11"/>
      <c r="H67" s="9" t="s">
        <v>18</v>
      </c>
      <c r="I67" s="9" t="s">
        <v>66</v>
      </c>
    </row>
    <row r="68">
      <c r="A68" s="9" t="s">
        <v>73</v>
      </c>
      <c r="B68" s="10">
        <f t="shared" si="25"/>
        <v>1000</v>
      </c>
      <c r="C68" s="31">
        <f t="shared" si="26"/>
        <v>500</v>
      </c>
      <c r="D68" s="9" t="b">
        <f t="shared" si="27"/>
        <v>0</v>
      </c>
      <c r="E68" s="10"/>
      <c r="F68" s="10">
        <v>1000.0</v>
      </c>
      <c r="G68" s="11" t="s">
        <v>74</v>
      </c>
      <c r="H68" s="9" t="s">
        <v>44</v>
      </c>
      <c r="I68" s="9" t="s">
        <v>45</v>
      </c>
    </row>
    <row r="69">
      <c r="A69" s="9" t="s">
        <v>75</v>
      </c>
      <c r="B69" s="10">
        <f t="shared" si="25"/>
        <v>800</v>
      </c>
      <c r="C69" s="31">
        <f t="shared" si="26"/>
        <v>400</v>
      </c>
      <c r="D69" s="9" t="b">
        <f t="shared" si="27"/>
        <v>0</v>
      </c>
      <c r="E69" s="10"/>
      <c r="F69" s="10">
        <f>1500/2</f>
        <v>750</v>
      </c>
      <c r="G69" s="11" t="s">
        <v>76</v>
      </c>
      <c r="H69" s="9" t="s">
        <v>44</v>
      </c>
      <c r="I69" s="9" t="s">
        <v>45</v>
      </c>
    </row>
    <row r="70">
      <c r="A70" s="9" t="s">
        <v>77</v>
      </c>
      <c r="B70" s="10">
        <f t="shared" si="25"/>
        <v>400</v>
      </c>
      <c r="C70" s="31">
        <f t="shared" si="26"/>
        <v>200</v>
      </c>
      <c r="D70" s="9" t="b">
        <f t="shared" si="27"/>
        <v>0</v>
      </c>
      <c r="E70" s="10"/>
      <c r="F70" s="10">
        <f>(500+120)/2</f>
        <v>310</v>
      </c>
      <c r="G70" s="11" t="s">
        <v>78</v>
      </c>
      <c r="H70" s="9" t="s">
        <v>44</v>
      </c>
      <c r="I70" s="9" t="s">
        <v>45</v>
      </c>
    </row>
    <row r="71">
      <c r="A71" s="9" t="s">
        <v>79</v>
      </c>
      <c r="B71" s="10">
        <f t="shared" si="25"/>
        <v>300</v>
      </c>
      <c r="C71" s="31">
        <f t="shared" si="26"/>
        <v>150</v>
      </c>
      <c r="D71" s="9" t="b">
        <f t="shared" si="27"/>
        <v>0</v>
      </c>
      <c r="E71" s="47"/>
      <c r="F71" s="47">
        <f>70*4</f>
        <v>280</v>
      </c>
      <c r="G71" s="53"/>
      <c r="H71" s="9" t="s">
        <v>18</v>
      </c>
      <c r="I71" s="9" t="s">
        <v>18</v>
      </c>
    </row>
    <row r="72">
      <c r="A72" s="9" t="s">
        <v>80</v>
      </c>
      <c r="B72" s="10">
        <f t="shared" si="25"/>
        <v>100</v>
      </c>
      <c r="C72" s="31">
        <f t="shared" si="26"/>
        <v>50</v>
      </c>
      <c r="D72" s="9" t="b">
        <f t="shared" si="27"/>
        <v>1</v>
      </c>
      <c r="E72" s="10">
        <v>1000.0</v>
      </c>
      <c r="F72" s="10">
        <f>E72/12</f>
        <v>83.33333333</v>
      </c>
      <c r="G72" s="11"/>
      <c r="H72" s="9" t="s">
        <v>44</v>
      </c>
      <c r="I72" s="9" t="s">
        <v>22</v>
      </c>
    </row>
    <row r="73">
      <c r="A73" s="9" t="s">
        <v>81</v>
      </c>
      <c r="B73" s="10">
        <f t="shared" si="25"/>
        <v>200</v>
      </c>
      <c r="C73" s="31">
        <f t="shared" si="26"/>
        <v>100</v>
      </c>
      <c r="D73" s="9" t="b">
        <f t="shared" si="27"/>
        <v>0</v>
      </c>
      <c r="E73" s="10"/>
      <c r="F73" s="10">
        <v>110.0</v>
      </c>
      <c r="G73" s="11"/>
      <c r="H73" s="9" t="s">
        <v>18</v>
      </c>
      <c r="I73" s="9" t="s">
        <v>18</v>
      </c>
    </row>
    <row r="74">
      <c r="A74" s="9" t="s">
        <v>82</v>
      </c>
      <c r="B74" s="10">
        <f t="shared" si="25"/>
        <v>0</v>
      </c>
      <c r="C74" s="31">
        <f t="shared" si="26"/>
        <v>0</v>
      </c>
      <c r="D74" s="9" t="b">
        <f t="shared" si="27"/>
        <v>0</v>
      </c>
      <c r="E74" s="10"/>
      <c r="F74" s="10"/>
      <c r="G74" s="11"/>
      <c r="H74" s="9" t="s">
        <v>18</v>
      </c>
      <c r="I74" s="9" t="s">
        <v>18</v>
      </c>
    </row>
    <row r="75">
      <c r="A75" s="46"/>
      <c r="B75" s="46"/>
      <c r="C75" s="46"/>
      <c r="D75" s="46"/>
      <c r="E75" s="46"/>
      <c r="F75" s="46"/>
      <c r="G75" s="17"/>
      <c r="H75" s="46"/>
      <c r="I75" s="46"/>
    </row>
    <row r="76">
      <c r="A76" s="9" t="s">
        <v>27</v>
      </c>
      <c r="B76" s="47">
        <f t="shared" ref="B76:C76" si="28">SUM(B63:B75)</f>
        <v>65700</v>
      </c>
      <c r="C76" s="47">
        <f t="shared" si="28"/>
        <v>32850</v>
      </c>
      <c r="D76" s="46"/>
      <c r="E76" s="46"/>
      <c r="F76" s="47">
        <f>SUM(F63:F75)</f>
        <v>65433.33333</v>
      </c>
      <c r="G76" s="17"/>
      <c r="H76" s="46"/>
      <c r="I76" s="46"/>
    </row>
    <row r="77">
      <c r="E77" s="48"/>
      <c r="F77" s="48"/>
      <c r="G77" s="17"/>
    </row>
    <row r="78">
      <c r="A78" s="1" t="s">
        <v>83</v>
      </c>
      <c r="E78" s="44"/>
      <c r="F78" s="44"/>
      <c r="G78" s="45"/>
    </row>
    <row r="79">
      <c r="A79" s="3" t="s">
        <v>3</v>
      </c>
      <c r="B79" s="4" t="s">
        <v>4</v>
      </c>
      <c r="C79" s="4" t="s">
        <v>5</v>
      </c>
      <c r="D79" s="4" t="s">
        <v>6</v>
      </c>
      <c r="E79" s="4"/>
      <c r="F79" s="4"/>
      <c r="G79" s="28"/>
      <c r="H79" s="5" t="s">
        <v>10</v>
      </c>
      <c r="I79" s="5" t="s">
        <v>29</v>
      </c>
    </row>
    <row r="80">
      <c r="A80" s="54" t="s">
        <v>84</v>
      </c>
      <c r="B80" s="55">
        <f t="shared" ref="B80:B82" si="29">CEILING(F80,100)</f>
        <v>5800</v>
      </c>
      <c r="C80" s="56">
        <f t="shared" ref="C80:C82" si="30">CEILING(B80/2, 10)</f>
        <v>2900</v>
      </c>
      <c r="D80" s="54" t="b">
        <v>0</v>
      </c>
      <c r="E80" s="55"/>
      <c r="F80" s="55">
        <v>5750.0</v>
      </c>
      <c r="G80" s="11"/>
      <c r="H80" s="54" t="s">
        <v>33</v>
      </c>
      <c r="I80" s="54" t="s">
        <v>31</v>
      </c>
    </row>
    <row r="81">
      <c r="A81" s="54" t="s">
        <v>85</v>
      </c>
      <c r="B81" s="55">
        <f t="shared" si="29"/>
        <v>3000</v>
      </c>
      <c r="C81" s="56">
        <f t="shared" si="30"/>
        <v>1500</v>
      </c>
      <c r="D81" s="54" t="b">
        <v>0</v>
      </c>
      <c r="E81" s="55"/>
      <c r="F81" s="55">
        <v>3000.0</v>
      </c>
      <c r="G81" s="11"/>
      <c r="H81" s="54" t="s">
        <v>18</v>
      </c>
      <c r="I81" s="54" t="s">
        <v>18</v>
      </c>
    </row>
    <row r="82">
      <c r="A82" s="54" t="s">
        <v>86</v>
      </c>
      <c r="B82" s="55">
        <f t="shared" si="29"/>
        <v>2300</v>
      </c>
      <c r="C82" s="56">
        <f t="shared" si="30"/>
        <v>1150</v>
      </c>
      <c r="D82" s="54" t="b">
        <v>0</v>
      </c>
      <c r="E82" s="55"/>
      <c r="F82" s="55">
        <v>2300.0</v>
      </c>
      <c r="G82" s="11"/>
      <c r="H82" s="54" t="s">
        <v>87</v>
      </c>
      <c r="I82" s="54" t="s">
        <v>87</v>
      </c>
    </row>
    <row r="83">
      <c r="A83" s="57"/>
      <c r="B83" s="57"/>
      <c r="C83" s="57"/>
      <c r="D83" s="57"/>
      <c r="E83" s="57"/>
      <c r="F83" s="57"/>
      <c r="G83" s="17"/>
      <c r="H83" s="57"/>
      <c r="I83" s="57"/>
    </row>
    <row r="84">
      <c r="A84" s="54" t="s">
        <v>27</v>
      </c>
      <c r="B84" s="58">
        <f t="shared" ref="B84:C84" si="31">SUM(B80:B83)</f>
        <v>11100</v>
      </c>
      <c r="C84" s="58">
        <f t="shared" si="31"/>
        <v>5550</v>
      </c>
      <c r="D84" s="57"/>
      <c r="E84" s="57"/>
      <c r="F84" s="58">
        <f>SUM(F80:F83)</f>
        <v>11050</v>
      </c>
      <c r="G84" s="17"/>
      <c r="H84" s="57"/>
      <c r="I84" s="57"/>
    </row>
    <row r="85">
      <c r="G85" s="17"/>
    </row>
    <row r="86">
      <c r="G86" s="17"/>
    </row>
    <row r="87">
      <c r="G87" s="17"/>
    </row>
    <row r="88">
      <c r="G88" s="17"/>
    </row>
    <row r="89">
      <c r="G89" s="17"/>
    </row>
    <row r="90">
      <c r="G90" s="17"/>
    </row>
    <row r="91">
      <c r="G91" s="17"/>
    </row>
    <row r="92">
      <c r="G92" s="17"/>
    </row>
    <row r="93">
      <c r="G93" s="17"/>
    </row>
    <row r="94">
      <c r="G94" s="17"/>
    </row>
    <row r="95">
      <c r="G95" s="17"/>
    </row>
    <row r="96">
      <c r="G96" s="17"/>
    </row>
    <row r="97">
      <c r="G97" s="17"/>
    </row>
    <row r="98">
      <c r="G98" s="17"/>
    </row>
    <row r="99">
      <c r="G99" s="17"/>
    </row>
    <row r="100">
      <c r="G100" s="17"/>
    </row>
    <row r="101">
      <c r="G101" s="17"/>
    </row>
    <row r="102">
      <c r="G102" s="17"/>
    </row>
    <row r="103">
      <c r="G103" s="17"/>
    </row>
    <row r="104">
      <c r="G104" s="17"/>
    </row>
    <row r="105">
      <c r="G105" s="17"/>
    </row>
    <row r="106">
      <c r="G106" s="17"/>
    </row>
    <row r="107">
      <c r="G107" s="17"/>
    </row>
    <row r="108">
      <c r="G108" s="17"/>
    </row>
    <row r="109">
      <c r="G109" s="17"/>
    </row>
    <row r="110">
      <c r="G110" s="17"/>
    </row>
    <row r="111">
      <c r="G111" s="17"/>
    </row>
    <row r="112">
      <c r="G112" s="17"/>
    </row>
    <row r="113">
      <c r="G113" s="17"/>
    </row>
    <row r="114">
      <c r="G114" s="17"/>
    </row>
    <row r="115">
      <c r="G115" s="17"/>
    </row>
    <row r="116">
      <c r="G116" s="17"/>
    </row>
    <row r="117">
      <c r="G117" s="17"/>
    </row>
    <row r="118">
      <c r="G118" s="17"/>
    </row>
    <row r="119">
      <c r="G119" s="17"/>
    </row>
    <row r="120">
      <c r="G120" s="17"/>
    </row>
    <row r="121">
      <c r="G121" s="17"/>
    </row>
    <row r="122">
      <c r="G122" s="17"/>
    </row>
    <row r="123">
      <c r="G123" s="17"/>
    </row>
    <row r="124">
      <c r="G124" s="17"/>
    </row>
    <row r="125">
      <c r="G125" s="17"/>
    </row>
    <row r="126">
      <c r="G126" s="17"/>
    </row>
    <row r="127">
      <c r="G127" s="17"/>
    </row>
    <row r="128">
      <c r="G128" s="17"/>
    </row>
    <row r="129">
      <c r="G129" s="17"/>
    </row>
    <row r="130">
      <c r="G130" s="17"/>
    </row>
    <row r="131">
      <c r="G131" s="17"/>
    </row>
    <row r="132">
      <c r="G132" s="17"/>
    </row>
    <row r="133">
      <c r="G133" s="17"/>
    </row>
    <row r="134">
      <c r="G134" s="17"/>
    </row>
    <row r="135">
      <c r="G135" s="17"/>
    </row>
    <row r="136">
      <c r="G136" s="17"/>
    </row>
    <row r="137">
      <c r="G137" s="17"/>
    </row>
    <row r="138">
      <c r="G138" s="17"/>
    </row>
    <row r="139">
      <c r="G139" s="17"/>
    </row>
    <row r="140">
      <c r="G140" s="17"/>
    </row>
    <row r="141">
      <c r="G141" s="17"/>
    </row>
    <row r="142">
      <c r="G142" s="17"/>
    </row>
    <row r="143">
      <c r="G143" s="17"/>
    </row>
    <row r="144">
      <c r="G144" s="17"/>
    </row>
    <row r="145">
      <c r="G145" s="17"/>
    </row>
    <row r="146">
      <c r="G146" s="17"/>
    </row>
    <row r="147">
      <c r="G147" s="17"/>
    </row>
    <row r="148">
      <c r="G148" s="17"/>
    </row>
    <row r="149">
      <c r="G149" s="17"/>
    </row>
    <row r="150">
      <c r="G150" s="17"/>
    </row>
    <row r="151">
      <c r="G151" s="17"/>
    </row>
    <row r="152">
      <c r="G152" s="17"/>
    </row>
    <row r="153">
      <c r="G153" s="17"/>
    </row>
    <row r="154">
      <c r="G154" s="17"/>
    </row>
    <row r="155">
      <c r="G155" s="17"/>
    </row>
    <row r="156">
      <c r="G156" s="17"/>
    </row>
    <row r="157">
      <c r="G157" s="17"/>
    </row>
    <row r="158">
      <c r="G158" s="17"/>
    </row>
    <row r="159">
      <c r="G159" s="17"/>
    </row>
    <row r="160">
      <c r="G160" s="17"/>
    </row>
    <row r="161">
      <c r="G161" s="17"/>
    </row>
    <row r="162">
      <c r="G162" s="17"/>
    </row>
    <row r="163">
      <c r="G163" s="17"/>
    </row>
    <row r="164">
      <c r="G164" s="17"/>
    </row>
    <row r="165">
      <c r="G165" s="17"/>
    </row>
    <row r="166">
      <c r="G166" s="17"/>
    </row>
    <row r="167">
      <c r="G167" s="17"/>
    </row>
    <row r="168">
      <c r="G168" s="17"/>
    </row>
    <row r="169">
      <c r="G169" s="17"/>
    </row>
    <row r="170">
      <c r="G170" s="17"/>
    </row>
    <row r="171">
      <c r="G171" s="17"/>
    </row>
    <row r="172">
      <c r="G172" s="17"/>
    </row>
    <row r="173">
      <c r="G173" s="17"/>
    </row>
    <row r="174">
      <c r="G174" s="17"/>
    </row>
    <row r="175">
      <c r="G175" s="17"/>
    </row>
    <row r="176">
      <c r="G176" s="17"/>
    </row>
    <row r="177">
      <c r="G177" s="17"/>
    </row>
    <row r="178">
      <c r="G178" s="17"/>
    </row>
    <row r="179">
      <c r="G179" s="17"/>
    </row>
    <row r="180">
      <c r="G180" s="17"/>
    </row>
    <row r="181">
      <c r="G181" s="17"/>
    </row>
    <row r="182">
      <c r="G182" s="17"/>
    </row>
    <row r="183">
      <c r="G183" s="17"/>
    </row>
    <row r="184">
      <c r="G184" s="17"/>
    </row>
    <row r="185">
      <c r="G185" s="17"/>
    </row>
    <row r="186">
      <c r="G186" s="17"/>
    </row>
    <row r="187">
      <c r="G187" s="17"/>
    </row>
    <row r="188">
      <c r="G188" s="17"/>
    </row>
    <row r="189">
      <c r="G189" s="17"/>
    </row>
    <row r="190">
      <c r="G190" s="17"/>
    </row>
    <row r="191">
      <c r="G191" s="17"/>
    </row>
    <row r="192">
      <c r="G192" s="17"/>
    </row>
    <row r="193">
      <c r="G193" s="17"/>
    </row>
    <row r="194">
      <c r="G194" s="17"/>
    </row>
    <row r="195">
      <c r="G195" s="17"/>
    </row>
    <row r="196">
      <c r="G196" s="17"/>
    </row>
    <row r="197">
      <c r="G197" s="17"/>
    </row>
    <row r="198">
      <c r="G198" s="17"/>
    </row>
    <row r="199">
      <c r="G199" s="17"/>
    </row>
    <row r="200">
      <c r="G200" s="17"/>
    </row>
    <row r="201">
      <c r="G201" s="17"/>
    </row>
    <row r="202">
      <c r="G202" s="17"/>
    </row>
    <row r="203">
      <c r="G203" s="17"/>
    </row>
    <row r="204">
      <c r="G204" s="17"/>
    </row>
    <row r="205">
      <c r="G205" s="17"/>
    </row>
    <row r="206">
      <c r="G206" s="17"/>
    </row>
    <row r="207">
      <c r="G207" s="17"/>
    </row>
    <row r="208">
      <c r="G208" s="17"/>
    </row>
    <row r="209">
      <c r="G209" s="17"/>
    </row>
    <row r="210">
      <c r="G210" s="17"/>
    </row>
    <row r="211">
      <c r="G211" s="17"/>
    </row>
    <row r="212">
      <c r="G212" s="17"/>
    </row>
    <row r="213">
      <c r="G213" s="17"/>
    </row>
    <row r="214">
      <c r="G214" s="17"/>
    </row>
    <row r="215">
      <c r="G215" s="17"/>
    </row>
    <row r="216">
      <c r="G216" s="17"/>
    </row>
    <row r="217">
      <c r="G217" s="17"/>
    </row>
    <row r="218">
      <c r="G218" s="17"/>
    </row>
    <row r="219">
      <c r="G219" s="17"/>
    </row>
    <row r="220">
      <c r="G220" s="17"/>
    </row>
    <row r="221">
      <c r="G221" s="17"/>
    </row>
    <row r="222">
      <c r="G222" s="17"/>
    </row>
    <row r="223">
      <c r="G223" s="17"/>
    </row>
    <row r="224">
      <c r="G224" s="17"/>
    </row>
    <row r="225">
      <c r="G225" s="17"/>
    </row>
    <row r="226">
      <c r="G226" s="17"/>
    </row>
    <row r="227">
      <c r="G227" s="17"/>
    </row>
    <row r="228">
      <c r="G228" s="17"/>
    </row>
    <row r="229">
      <c r="G229" s="17"/>
    </row>
    <row r="230">
      <c r="G230" s="17"/>
    </row>
    <row r="231">
      <c r="G231" s="17"/>
    </row>
    <row r="232">
      <c r="G232" s="17"/>
    </row>
    <row r="233">
      <c r="G233" s="17"/>
    </row>
    <row r="234">
      <c r="G234" s="17"/>
    </row>
    <row r="235">
      <c r="G235" s="17"/>
    </row>
    <row r="236">
      <c r="G236" s="17"/>
    </row>
    <row r="237">
      <c r="G237" s="17"/>
    </row>
    <row r="238">
      <c r="G238" s="17"/>
    </row>
    <row r="239">
      <c r="G239" s="17"/>
    </row>
    <row r="240">
      <c r="G240" s="17"/>
    </row>
    <row r="241">
      <c r="G241" s="17"/>
    </row>
    <row r="242">
      <c r="G242" s="17"/>
    </row>
    <row r="243">
      <c r="G243" s="17"/>
    </row>
    <row r="244">
      <c r="G244" s="17"/>
    </row>
    <row r="245">
      <c r="G245" s="17"/>
    </row>
    <row r="246">
      <c r="G246" s="17"/>
    </row>
    <row r="247">
      <c r="G247" s="17"/>
    </row>
    <row r="248">
      <c r="G248" s="17"/>
    </row>
    <row r="249">
      <c r="G249" s="17"/>
    </row>
    <row r="250">
      <c r="G250" s="17"/>
    </row>
    <row r="251">
      <c r="G251" s="17"/>
    </row>
    <row r="252">
      <c r="G252" s="17"/>
    </row>
    <row r="253">
      <c r="G253" s="17"/>
    </row>
    <row r="254">
      <c r="G254" s="17"/>
    </row>
    <row r="255">
      <c r="G255" s="17"/>
    </row>
    <row r="256">
      <c r="G256" s="17"/>
    </row>
    <row r="257">
      <c r="G257" s="17"/>
    </row>
    <row r="258">
      <c r="G258" s="17"/>
    </row>
    <row r="259">
      <c r="G259" s="17"/>
    </row>
    <row r="260">
      <c r="G260" s="17"/>
    </row>
    <row r="261">
      <c r="G261" s="17"/>
    </row>
    <row r="262">
      <c r="G262" s="17"/>
    </row>
    <row r="263">
      <c r="G263" s="17"/>
    </row>
    <row r="264">
      <c r="G264" s="17"/>
    </row>
    <row r="265">
      <c r="G265" s="17"/>
    </row>
    <row r="266">
      <c r="G266" s="17"/>
    </row>
    <row r="267">
      <c r="G267" s="17"/>
    </row>
    <row r="268">
      <c r="G268" s="17"/>
    </row>
    <row r="269">
      <c r="G269" s="17"/>
    </row>
    <row r="270">
      <c r="G270" s="17"/>
    </row>
    <row r="271">
      <c r="G271" s="17"/>
    </row>
    <row r="272">
      <c r="G272" s="17"/>
    </row>
    <row r="273">
      <c r="G273" s="17"/>
    </row>
    <row r="274">
      <c r="G274" s="17"/>
    </row>
    <row r="275">
      <c r="G275" s="17"/>
    </row>
    <row r="276">
      <c r="G276" s="17"/>
    </row>
    <row r="277">
      <c r="G277" s="17"/>
    </row>
    <row r="278">
      <c r="G278" s="17"/>
    </row>
    <row r="279">
      <c r="G279" s="17"/>
    </row>
    <row r="280">
      <c r="G280" s="17"/>
    </row>
    <row r="281">
      <c r="G281" s="17"/>
    </row>
    <row r="282">
      <c r="G282" s="17"/>
    </row>
    <row r="283">
      <c r="G283" s="17"/>
    </row>
    <row r="284">
      <c r="G284" s="17"/>
    </row>
    <row r="285">
      <c r="G285" s="17"/>
    </row>
    <row r="286">
      <c r="G286" s="17"/>
    </row>
    <row r="287">
      <c r="G287" s="17"/>
    </row>
    <row r="288">
      <c r="G288" s="17"/>
    </row>
    <row r="289">
      <c r="G289" s="17"/>
    </row>
    <row r="290">
      <c r="G290" s="17"/>
    </row>
    <row r="291">
      <c r="G291" s="17"/>
    </row>
    <row r="292">
      <c r="G292" s="17"/>
    </row>
    <row r="293">
      <c r="G293" s="17"/>
    </row>
    <row r="294">
      <c r="G294" s="17"/>
    </row>
    <row r="295">
      <c r="G295" s="17"/>
    </row>
    <row r="296">
      <c r="G296" s="17"/>
    </row>
    <row r="297">
      <c r="G297" s="17"/>
    </row>
    <row r="298">
      <c r="G298" s="17"/>
    </row>
    <row r="299">
      <c r="G299" s="17"/>
    </row>
    <row r="300">
      <c r="G300" s="17"/>
    </row>
    <row r="301">
      <c r="G301" s="17"/>
    </row>
    <row r="302">
      <c r="G302" s="17"/>
    </row>
    <row r="303">
      <c r="G303" s="17"/>
    </row>
    <row r="304">
      <c r="G304" s="17"/>
    </row>
    <row r="305">
      <c r="G305" s="17"/>
    </row>
    <row r="306">
      <c r="G306" s="17"/>
    </row>
    <row r="307">
      <c r="G307" s="17"/>
    </row>
    <row r="308">
      <c r="G308" s="17"/>
    </row>
    <row r="309">
      <c r="G309" s="17"/>
    </row>
    <row r="310">
      <c r="G310" s="17"/>
    </row>
    <row r="311">
      <c r="G311" s="17"/>
    </row>
    <row r="312">
      <c r="G312" s="17"/>
    </row>
    <row r="313">
      <c r="G313" s="17"/>
    </row>
    <row r="314">
      <c r="G314" s="17"/>
    </row>
    <row r="315">
      <c r="G315" s="17"/>
    </row>
    <row r="316">
      <c r="G316" s="17"/>
    </row>
    <row r="317">
      <c r="G317" s="17"/>
    </row>
    <row r="318">
      <c r="G318" s="17"/>
    </row>
    <row r="319">
      <c r="G319" s="17"/>
    </row>
    <row r="320">
      <c r="G320" s="17"/>
    </row>
    <row r="321">
      <c r="G321" s="17"/>
    </row>
    <row r="322">
      <c r="G322" s="17"/>
    </row>
    <row r="323">
      <c r="G323" s="17"/>
    </row>
    <row r="324">
      <c r="G324" s="17"/>
    </row>
    <row r="325">
      <c r="G325" s="17"/>
    </row>
    <row r="326">
      <c r="G326" s="17"/>
    </row>
    <row r="327">
      <c r="G327" s="17"/>
    </row>
    <row r="328">
      <c r="G328" s="17"/>
    </row>
    <row r="329">
      <c r="G329" s="17"/>
    </row>
    <row r="330">
      <c r="G330" s="17"/>
    </row>
    <row r="331">
      <c r="G331" s="17"/>
    </row>
    <row r="332">
      <c r="G332" s="17"/>
    </row>
    <row r="333">
      <c r="G333" s="17"/>
    </row>
    <row r="334">
      <c r="G334" s="17"/>
    </row>
    <row r="335">
      <c r="G335" s="17"/>
    </row>
    <row r="336">
      <c r="G336" s="17"/>
    </row>
    <row r="337">
      <c r="G337" s="17"/>
    </row>
    <row r="338">
      <c r="G338" s="17"/>
    </row>
    <row r="339">
      <c r="G339" s="17"/>
    </row>
    <row r="340">
      <c r="G340" s="17"/>
    </row>
    <row r="341">
      <c r="G341" s="17"/>
    </row>
    <row r="342">
      <c r="G342" s="17"/>
    </row>
    <row r="343">
      <c r="G343" s="17"/>
    </row>
    <row r="344">
      <c r="G344" s="17"/>
    </row>
    <row r="345">
      <c r="G345" s="17"/>
    </row>
    <row r="346">
      <c r="G346" s="17"/>
    </row>
    <row r="347">
      <c r="G347" s="17"/>
    </row>
    <row r="348">
      <c r="G348" s="17"/>
    </row>
    <row r="349">
      <c r="G349" s="17"/>
    </row>
    <row r="350">
      <c r="G350" s="17"/>
    </row>
    <row r="351">
      <c r="G351" s="17"/>
    </row>
    <row r="352">
      <c r="G352" s="17"/>
    </row>
    <row r="353">
      <c r="G353" s="17"/>
    </row>
    <row r="354">
      <c r="G354" s="17"/>
    </row>
    <row r="355">
      <c r="G355" s="17"/>
    </row>
    <row r="356">
      <c r="G356" s="17"/>
    </row>
    <row r="357">
      <c r="G357" s="17"/>
    </row>
    <row r="358">
      <c r="G358" s="17"/>
    </row>
    <row r="359">
      <c r="G359" s="17"/>
    </row>
    <row r="360">
      <c r="G360" s="17"/>
    </row>
    <row r="361">
      <c r="G361" s="17"/>
    </row>
    <row r="362">
      <c r="G362" s="17"/>
    </row>
    <row r="363">
      <c r="G363" s="17"/>
    </row>
    <row r="364">
      <c r="G364" s="17"/>
    </row>
    <row r="365">
      <c r="G365" s="17"/>
    </row>
    <row r="366">
      <c r="G366" s="17"/>
    </row>
    <row r="367">
      <c r="G367" s="17"/>
    </row>
    <row r="368">
      <c r="G368" s="17"/>
    </row>
    <row r="369">
      <c r="G369" s="17"/>
    </row>
    <row r="370">
      <c r="G370" s="17"/>
    </row>
    <row r="371">
      <c r="G371" s="17"/>
    </row>
    <row r="372">
      <c r="G372" s="17"/>
    </row>
    <row r="373">
      <c r="G373" s="17"/>
    </row>
    <row r="374">
      <c r="G374" s="17"/>
    </row>
    <row r="375">
      <c r="G375" s="17"/>
    </row>
    <row r="376">
      <c r="G376" s="17"/>
    </row>
    <row r="377">
      <c r="G377" s="17"/>
    </row>
    <row r="378">
      <c r="G378" s="17"/>
    </row>
    <row r="379">
      <c r="G379" s="17"/>
    </row>
    <row r="380">
      <c r="G380" s="17"/>
    </row>
    <row r="381">
      <c r="G381" s="17"/>
    </row>
    <row r="382">
      <c r="G382" s="17"/>
    </row>
    <row r="383">
      <c r="G383" s="17"/>
    </row>
    <row r="384">
      <c r="G384" s="17"/>
    </row>
    <row r="385">
      <c r="G385" s="17"/>
    </row>
    <row r="386">
      <c r="G386" s="17"/>
    </row>
    <row r="387">
      <c r="G387" s="17"/>
    </row>
    <row r="388">
      <c r="G388" s="17"/>
    </row>
    <row r="389">
      <c r="G389" s="17"/>
    </row>
    <row r="390">
      <c r="G390" s="17"/>
    </row>
    <row r="391">
      <c r="G391" s="17"/>
    </row>
    <row r="392">
      <c r="G392" s="17"/>
    </row>
    <row r="393">
      <c r="G393" s="17"/>
    </row>
    <row r="394">
      <c r="G394" s="17"/>
    </row>
    <row r="395">
      <c r="G395" s="17"/>
    </row>
    <row r="396">
      <c r="G396" s="17"/>
    </row>
    <row r="397">
      <c r="G397" s="17"/>
    </row>
    <row r="398">
      <c r="G398" s="17"/>
    </row>
    <row r="399">
      <c r="G399" s="17"/>
    </row>
    <row r="400">
      <c r="G400" s="17"/>
    </row>
    <row r="401">
      <c r="G401" s="17"/>
    </row>
    <row r="402">
      <c r="G402" s="17"/>
    </row>
    <row r="403">
      <c r="G403" s="17"/>
    </row>
    <row r="404">
      <c r="G404" s="17"/>
    </row>
    <row r="405">
      <c r="G405" s="17"/>
    </row>
    <row r="406">
      <c r="G406" s="17"/>
    </row>
    <row r="407">
      <c r="G407" s="17"/>
    </row>
    <row r="408">
      <c r="G408" s="17"/>
    </row>
    <row r="409">
      <c r="G409" s="17"/>
    </row>
    <row r="410">
      <c r="G410" s="17"/>
    </row>
    <row r="411">
      <c r="G411" s="17"/>
    </row>
    <row r="412">
      <c r="G412" s="17"/>
    </row>
    <row r="413">
      <c r="G413" s="17"/>
    </row>
    <row r="414">
      <c r="G414" s="17"/>
    </row>
    <row r="415">
      <c r="G415" s="17"/>
    </row>
    <row r="416">
      <c r="G416" s="17"/>
    </row>
    <row r="417">
      <c r="G417" s="17"/>
    </row>
    <row r="418">
      <c r="G418" s="17"/>
    </row>
    <row r="419">
      <c r="G419" s="17"/>
    </row>
    <row r="420">
      <c r="G420" s="17"/>
    </row>
    <row r="421">
      <c r="G421" s="17"/>
    </row>
    <row r="422">
      <c r="G422" s="17"/>
    </row>
    <row r="423">
      <c r="G423" s="17"/>
    </row>
    <row r="424">
      <c r="G424" s="17"/>
    </row>
    <row r="425">
      <c r="G425" s="17"/>
    </row>
    <row r="426">
      <c r="G426" s="17"/>
    </row>
    <row r="427">
      <c r="G427" s="17"/>
    </row>
    <row r="428">
      <c r="G428" s="17"/>
    </row>
    <row r="429">
      <c r="G429" s="17"/>
    </row>
    <row r="430">
      <c r="G430" s="17"/>
    </row>
    <row r="431">
      <c r="G431" s="17"/>
    </row>
    <row r="432">
      <c r="G432" s="17"/>
    </row>
    <row r="433">
      <c r="G433" s="17"/>
    </row>
    <row r="434">
      <c r="G434" s="17"/>
    </row>
    <row r="435">
      <c r="G435" s="17"/>
    </row>
    <row r="436">
      <c r="G436" s="17"/>
    </row>
    <row r="437">
      <c r="G437" s="17"/>
    </row>
    <row r="438">
      <c r="G438" s="17"/>
    </row>
    <row r="439">
      <c r="G439" s="17"/>
    </row>
    <row r="440">
      <c r="G440" s="17"/>
    </row>
    <row r="441">
      <c r="G441" s="17"/>
    </row>
    <row r="442">
      <c r="G442" s="17"/>
    </row>
    <row r="443">
      <c r="G443" s="17"/>
    </row>
    <row r="444">
      <c r="G444" s="17"/>
    </row>
    <row r="445">
      <c r="G445" s="17"/>
    </row>
    <row r="446">
      <c r="G446" s="17"/>
    </row>
    <row r="447">
      <c r="G447" s="17"/>
    </row>
    <row r="448">
      <c r="G448" s="17"/>
    </row>
    <row r="449">
      <c r="G449" s="17"/>
    </row>
    <row r="450">
      <c r="G450" s="17"/>
    </row>
    <row r="451">
      <c r="G451" s="17"/>
    </row>
    <row r="452">
      <c r="G452" s="17"/>
    </row>
    <row r="453">
      <c r="G453" s="17"/>
    </row>
    <row r="454">
      <c r="G454" s="17"/>
    </row>
    <row r="455">
      <c r="G455" s="17"/>
    </row>
    <row r="456">
      <c r="G456" s="17"/>
    </row>
    <row r="457">
      <c r="G457" s="17"/>
    </row>
    <row r="458">
      <c r="G458" s="17"/>
    </row>
    <row r="459">
      <c r="G459" s="17"/>
    </row>
    <row r="460">
      <c r="G460" s="17"/>
    </row>
    <row r="461">
      <c r="G461" s="17"/>
    </row>
    <row r="462">
      <c r="G462" s="17"/>
    </row>
    <row r="463">
      <c r="G463" s="17"/>
    </row>
    <row r="464">
      <c r="G464" s="17"/>
    </row>
    <row r="465">
      <c r="G465" s="17"/>
    </row>
    <row r="466">
      <c r="G466" s="17"/>
    </row>
    <row r="467">
      <c r="G467" s="17"/>
    </row>
    <row r="468">
      <c r="G468" s="17"/>
    </row>
    <row r="469">
      <c r="G469" s="17"/>
    </row>
    <row r="470">
      <c r="G470" s="17"/>
    </row>
    <row r="471">
      <c r="G471" s="17"/>
    </row>
    <row r="472">
      <c r="G472" s="17"/>
    </row>
    <row r="473">
      <c r="G473" s="17"/>
    </row>
    <row r="474">
      <c r="G474" s="17"/>
    </row>
    <row r="475">
      <c r="G475" s="17"/>
    </row>
    <row r="476">
      <c r="G476" s="17"/>
    </row>
    <row r="477">
      <c r="G477" s="17"/>
    </row>
    <row r="478">
      <c r="G478" s="17"/>
    </row>
    <row r="479">
      <c r="G479" s="17"/>
    </row>
    <row r="480">
      <c r="G480" s="17"/>
    </row>
    <row r="481">
      <c r="G481" s="17"/>
    </row>
    <row r="482">
      <c r="G482" s="17"/>
    </row>
    <row r="483">
      <c r="G483" s="17"/>
    </row>
    <row r="484">
      <c r="G484" s="17"/>
    </row>
    <row r="485">
      <c r="G485" s="17"/>
    </row>
    <row r="486">
      <c r="G486" s="17"/>
    </row>
    <row r="487">
      <c r="G487" s="17"/>
    </row>
    <row r="488">
      <c r="G488" s="17"/>
    </row>
    <row r="489">
      <c r="G489" s="17"/>
    </row>
    <row r="490">
      <c r="G490" s="17"/>
    </row>
    <row r="491">
      <c r="G491" s="17"/>
    </row>
    <row r="492">
      <c r="G492" s="17"/>
    </row>
    <row r="493">
      <c r="G493" s="17"/>
    </row>
    <row r="494">
      <c r="G494" s="17"/>
    </row>
    <row r="495">
      <c r="G495" s="17"/>
    </row>
    <row r="496">
      <c r="G496" s="17"/>
    </row>
    <row r="497">
      <c r="G497" s="17"/>
    </row>
    <row r="498">
      <c r="G498" s="17"/>
    </row>
    <row r="499">
      <c r="G499" s="17"/>
    </row>
    <row r="500">
      <c r="G500" s="17"/>
    </row>
    <row r="501">
      <c r="G501" s="17"/>
    </row>
    <row r="502">
      <c r="G502" s="17"/>
    </row>
    <row r="503">
      <c r="G503" s="17"/>
    </row>
    <row r="504">
      <c r="G504" s="17"/>
    </row>
    <row r="505">
      <c r="G505" s="17"/>
    </row>
    <row r="506">
      <c r="G506" s="17"/>
    </row>
    <row r="507">
      <c r="G507" s="17"/>
    </row>
    <row r="508">
      <c r="G508" s="17"/>
    </row>
    <row r="509">
      <c r="G509" s="17"/>
    </row>
    <row r="510">
      <c r="G510" s="17"/>
    </row>
    <row r="511">
      <c r="G511" s="17"/>
    </row>
    <row r="512">
      <c r="G512" s="17"/>
    </row>
    <row r="513">
      <c r="G513" s="17"/>
    </row>
    <row r="514">
      <c r="G514" s="17"/>
    </row>
    <row r="515">
      <c r="G515" s="17"/>
    </row>
    <row r="516">
      <c r="G516" s="17"/>
    </row>
    <row r="517">
      <c r="G517" s="17"/>
    </row>
    <row r="518">
      <c r="G518" s="17"/>
    </row>
    <row r="519">
      <c r="G519" s="17"/>
    </row>
    <row r="520">
      <c r="G520" s="17"/>
    </row>
    <row r="521">
      <c r="G521" s="17"/>
    </row>
    <row r="522">
      <c r="G522" s="17"/>
    </row>
    <row r="523">
      <c r="G523" s="17"/>
    </row>
    <row r="524">
      <c r="G524" s="17"/>
    </row>
    <row r="525">
      <c r="G525" s="17"/>
    </row>
    <row r="526">
      <c r="G526" s="17"/>
    </row>
    <row r="527">
      <c r="G527" s="17"/>
    </row>
    <row r="528">
      <c r="G528" s="17"/>
    </row>
    <row r="529">
      <c r="G529" s="17"/>
    </row>
    <row r="530">
      <c r="G530" s="17"/>
    </row>
    <row r="531">
      <c r="G531" s="17"/>
    </row>
    <row r="532">
      <c r="G532" s="17"/>
    </row>
    <row r="533">
      <c r="G533" s="17"/>
    </row>
    <row r="534">
      <c r="G534" s="17"/>
    </row>
    <row r="535">
      <c r="G535" s="17"/>
    </row>
    <row r="536">
      <c r="G536" s="17"/>
    </row>
    <row r="537">
      <c r="G537" s="17"/>
    </row>
    <row r="538">
      <c r="G538" s="17"/>
    </row>
    <row r="539">
      <c r="G539" s="17"/>
    </row>
    <row r="540">
      <c r="G540" s="17"/>
    </row>
    <row r="541">
      <c r="G541" s="17"/>
    </row>
    <row r="542">
      <c r="G542" s="17"/>
    </row>
    <row r="543">
      <c r="G543" s="17"/>
    </row>
    <row r="544">
      <c r="G544" s="17"/>
    </row>
    <row r="545">
      <c r="G545" s="17"/>
    </row>
    <row r="546">
      <c r="G546" s="17"/>
    </row>
    <row r="547">
      <c r="G547" s="17"/>
    </row>
    <row r="548">
      <c r="G548" s="17"/>
    </row>
    <row r="549">
      <c r="G549" s="17"/>
    </row>
    <row r="550">
      <c r="G550" s="17"/>
    </row>
    <row r="551">
      <c r="G551" s="17"/>
    </row>
    <row r="552">
      <c r="G552" s="17"/>
    </row>
    <row r="553">
      <c r="G553" s="17"/>
    </row>
    <row r="554">
      <c r="G554" s="17"/>
    </row>
    <row r="555">
      <c r="G555" s="17"/>
    </row>
    <row r="556">
      <c r="G556" s="17"/>
    </row>
    <row r="557">
      <c r="G557" s="17"/>
    </row>
    <row r="558">
      <c r="G558" s="17"/>
    </row>
    <row r="559">
      <c r="G559" s="17"/>
    </row>
    <row r="560">
      <c r="G560" s="17"/>
    </row>
    <row r="561">
      <c r="G561" s="17"/>
    </row>
    <row r="562">
      <c r="G562" s="17"/>
    </row>
    <row r="563">
      <c r="G563" s="17"/>
    </row>
    <row r="564">
      <c r="G564" s="17"/>
    </row>
    <row r="565">
      <c r="G565" s="17"/>
    </row>
    <row r="566">
      <c r="G566" s="17"/>
    </row>
    <row r="567">
      <c r="G567" s="17"/>
    </row>
    <row r="568">
      <c r="G568" s="17"/>
    </row>
    <row r="569">
      <c r="G569" s="17"/>
    </row>
    <row r="570">
      <c r="G570" s="17"/>
    </row>
    <row r="571">
      <c r="G571" s="17"/>
    </row>
    <row r="572">
      <c r="G572" s="17"/>
    </row>
    <row r="573">
      <c r="G573" s="17"/>
    </row>
    <row r="574">
      <c r="G574" s="17"/>
    </row>
    <row r="575">
      <c r="G575" s="17"/>
    </row>
    <row r="576">
      <c r="G576" s="17"/>
    </row>
    <row r="577">
      <c r="G577" s="17"/>
    </row>
    <row r="578">
      <c r="G578" s="17"/>
    </row>
    <row r="579">
      <c r="G579" s="17"/>
    </row>
    <row r="580">
      <c r="G580" s="17"/>
    </row>
    <row r="581">
      <c r="G581" s="17"/>
    </row>
    <row r="582">
      <c r="G582" s="17"/>
    </row>
    <row r="583">
      <c r="G583" s="17"/>
    </row>
    <row r="584">
      <c r="G584" s="17"/>
    </row>
    <row r="585">
      <c r="G585" s="17"/>
    </row>
    <row r="586">
      <c r="G586" s="17"/>
    </row>
    <row r="587">
      <c r="G587" s="17"/>
    </row>
    <row r="588">
      <c r="G588" s="17"/>
    </row>
    <row r="589">
      <c r="G589" s="17"/>
    </row>
    <row r="590">
      <c r="G590" s="17"/>
    </row>
    <row r="591">
      <c r="G591" s="17"/>
    </row>
    <row r="592">
      <c r="G592" s="17"/>
    </row>
    <row r="593">
      <c r="G593" s="17"/>
    </row>
    <row r="594">
      <c r="G594" s="17"/>
    </row>
    <row r="595">
      <c r="G595" s="17"/>
    </row>
    <row r="596">
      <c r="G596" s="17"/>
    </row>
    <row r="597">
      <c r="G597" s="17"/>
    </row>
    <row r="598">
      <c r="G598" s="17"/>
    </row>
    <row r="599">
      <c r="G599" s="17"/>
    </row>
    <row r="600">
      <c r="G600" s="17"/>
    </row>
    <row r="601">
      <c r="G601" s="17"/>
    </row>
    <row r="602">
      <c r="G602" s="17"/>
    </row>
    <row r="603">
      <c r="G603" s="17"/>
    </row>
    <row r="604">
      <c r="G604" s="17"/>
    </row>
    <row r="605">
      <c r="G605" s="17"/>
    </row>
    <row r="606">
      <c r="G606" s="17"/>
    </row>
    <row r="607">
      <c r="G607" s="17"/>
    </row>
    <row r="608">
      <c r="G608" s="17"/>
    </row>
    <row r="609">
      <c r="G609" s="17"/>
    </row>
    <row r="610">
      <c r="G610" s="17"/>
    </row>
    <row r="611">
      <c r="G611" s="17"/>
    </row>
    <row r="612">
      <c r="G612" s="17"/>
    </row>
    <row r="613">
      <c r="G613" s="17"/>
    </row>
    <row r="614">
      <c r="G614" s="17"/>
    </row>
    <row r="615">
      <c r="G615" s="17"/>
    </row>
    <row r="616">
      <c r="G616" s="17"/>
    </row>
    <row r="617">
      <c r="G617" s="17"/>
    </row>
    <row r="618">
      <c r="G618" s="17"/>
    </row>
    <row r="619">
      <c r="G619" s="17"/>
    </row>
    <row r="620">
      <c r="G620" s="17"/>
    </row>
    <row r="621">
      <c r="G621" s="17"/>
    </row>
    <row r="622">
      <c r="G622" s="17"/>
    </row>
    <row r="623">
      <c r="G623" s="17"/>
    </row>
    <row r="624">
      <c r="G624" s="17"/>
    </row>
    <row r="625">
      <c r="G625" s="17"/>
    </row>
    <row r="626">
      <c r="G626" s="17"/>
    </row>
    <row r="627">
      <c r="G627" s="17"/>
    </row>
    <row r="628">
      <c r="G628" s="17"/>
    </row>
    <row r="629">
      <c r="G629" s="17"/>
    </row>
    <row r="630">
      <c r="G630" s="17"/>
    </row>
    <row r="631">
      <c r="G631" s="17"/>
    </row>
    <row r="632">
      <c r="G632" s="17"/>
    </row>
    <row r="633">
      <c r="G633" s="17"/>
    </row>
    <row r="634">
      <c r="G634" s="17"/>
    </row>
    <row r="635">
      <c r="G635" s="17"/>
    </row>
    <row r="636">
      <c r="G636" s="17"/>
    </row>
    <row r="637">
      <c r="G637" s="17"/>
    </row>
    <row r="638">
      <c r="G638" s="17"/>
    </row>
    <row r="639">
      <c r="G639" s="17"/>
    </row>
    <row r="640">
      <c r="G640" s="17"/>
    </row>
    <row r="641">
      <c r="G641" s="17"/>
    </row>
    <row r="642">
      <c r="G642" s="17"/>
    </row>
    <row r="643">
      <c r="G643" s="17"/>
    </row>
    <row r="644">
      <c r="G644" s="17"/>
    </row>
    <row r="645">
      <c r="G645" s="17"/>
    </row>
    <row r="646">
      <c r="G646" s="17"/>
    </row>
    <row r="647">
      <c r="G647" s="17"/>
    </row>
    <row r="648">
      <c r="G648" s="17"/>
    </row>
    <row r="649">
      <c r="G649" s="17"/>
    </row>
    <row r="650">
      <c r="G650" s="17"/>
    </row>
    <row r="651">
      <c r="G651" s="17"/>
    </row>
    <row r="652">
      <c r="G652" s="17"/>
    </row>
    <row r="653">
      <c r="G653" s="17"/>
    </row>
    <row r="654">
      <c r="G654" s="17"/>
    </row>
    <row r="655">
      <c r="G655" s="17"/>
    </row>
    <row r="656">
      <c r="G656" s="17"/>
    </row>
    <row r="657">
      <c r="G657" s="17"/>
    </row>
    <row r="658">
      <c r="G658" s="17"/>
    </row>
    <row r="659">
      <c r="G659" s="17"/>
    </row>
    <row r="660">
      <c r="G660" s="17"/>
    </row>
    <row r="661">
      <c r="G661" s="17"/>
    </row>
    <row r="662">
      <c r="G662" s="17"/>
    </row>
    <row r="663">
      <c r="G663" s="17"/>
    </row>
    <row r="664">
      <c r="G664" s="17"/>
    </row>
    <row r="665">
      <c r="G665" s="17"/>
    </row>
    <row r="666">
      <c r="G666" s="17"/>
    </row>
    <row r="667">
      <c r="G667" s="17"/>
    </row>
    <row r="668">
      <c r="G668" s="17"/>
    </row>
    <row r="669">
      <c r="G669" s="17"/>
    </row>
    <row r="670">
      <c r="G670" s="17"/>
    </row>
    <row r="671">
      <c r="G671" s="17"/>
    </row>
    <row r="672">
      <c r="G672" s="17"/>
    </row>
    <row r="673">
      <c r="G673" s="17"/>
    </row>
    <row r="674">
      <c r="G674" s="17"/>
    </row>
    <row r="675">
      <c r="G675" s="17"/>
    </row>
    <row r="676">
      <c r="G676" s="17"/>
    </row>
    <row r="677">
      <c r="G677" s="17"/>
    </row>
    <row r="678">
      <c r="G678" s="17"/>
    </row>
    <row r="679">
      <c r="G679" s="17"/>
    </row>
    <row r="680">
      <c r="G680" s="17"/>
    </row>
    <row r="681">
      <c r="G681" s="17"/>
    </row>
    <row r="682">
      <c r="G682" s="17"/>
    </row>
    <row r="683">
      <c r="G683" s="17"/>
    </row>
    <row r="684">
      <c r="G684" s="17"/>
    </row>
    <row r="685">
      <c r="G685" s="17"/>
    </row>
    <row r="686">
      <c r="G686" s="17"/>
    </row>
    <row r="687">
      <c r="G687" s="17"/>
    </row>
    <row r="688">
      <c r="G688" s="17"/>
    </row>
    <row r="689">
      <c r="G689" s="17"/>
    </row>
    <row r="690">
      <c r="G690" s="17"/>
    </row>
    <row r="691">
      <c r="G691" s="17"/>
    </row>
    <row r="692">
      <c r="G692" s="17"/>
    </row>
    <row r="693">
      <c r="G693" s="17"/>
    </row>
    <row r="694">
      <c r="G694" s="17"/>
    </row>
    <row r="695">
      <c r="G695" s="17"/>
    </row>
    <row r="696">
      <c r="G696" s="17"/>
    </row>
    <row r="697">
      <c r="G697" s="17"/>
    </row>
    <row r="698">
      <c r="G698" s="17"/>
    </row>
    <row r="699">
      <c r="G699" s="17"/>
    </row>
    <row r="700">
      <c r="G700" s="17"/>
    </row>
    <row r="701">
      <c r="G701" s="17"/>
    </row>
    <row r="702">
      <c r="G702" s="17"/>
    </row>
    <row r="703">
      <c r="G703" s="17"/>
    </row>
    <row r="704">
      <c r="G704" s="17"/>
    </row>
    <row r="705">
      <c r="G705" s="17"/>
    </row>
    <row r="706">
      <c r="G706" s="17"/>
    </row>
    <row r="707">
      <c r="G707" s="17"/>
    </row>
    <row r="708">
      <c r="G708" s="17"/>
    </row>
    <row r="709">
      <c r="G709" s="17"/>
    </row>
    <row r="710">
      <c r="G710" s="17"/>
    </row>
    <row r="711">
      <c r="G711" s="17"/>
    </row>
    <row r="712">
      <c r="G712" s="17"/>
    </row>
    <row r="713">
      <c r="G713" s="17"/>
    </row>
    <row r="714">
      <c r="G714" s="17"/>
    </row>
    <row r="715">
      <c r="G715" s="17"/>
    </row>
    <row r="716">
      <c r="G716" s="17"/>
    </row>
    <row r="717">
      <c r="G717" s="17"/>
    </row>
    <row r="718">
      <c r="G718" s="17"/>
    </row>
    <row r="719">
      <c r="G719" s="17"/>
    </row>
    <row r="720">
      <c r="G720" s="17"/>
    </row>
    <row r="721">
      <c r="G721" s="17"/>
    </row>
    <row r="722">
      <c r="G722" s="17"/>
    </row>
    <row r="723">
      <c r="G723" s="17"/>
    </row>
    <row r="724">
      <c r="G724" s="17"/>
    </row>
    <row r="725">
      <c r="G725" s="17"/>
    </row>
    <row r="726">
      <c r="G726" s="17"/>
    </row>
    <row r="727">
      <c r="G727" s="17"/>
    </row>
    <row r="728">
      <c r="G728" s="17"/>
    </row>
    <row r="729">
      <c r="G729" s="17"/>
    </row>
    <row r="730">
      <c r="G730" s="17"/>
    </row>
    <row r="731">
      <c r="G731" s="17"/>
    </row>
    <row r="732">
      <c r="G732" s="17"/>
    </row>
    <row r="733">
      <c r="G733" s="17"/>
    </row>
    <row r="734">
      <c r="G734" s="17"/>
    </row>
    <row r="735">
      <c r="G735" s="17"/>
    </row>
    <row r="736">
      <c r="G736" s="17"/>
    </row>
    <row r="737">
      <c r="G737" s="17"/>
    </row>
    <row r="738">
      <c r="G738" s="17"/>
    </row>
    <row r="739">
      <c r="G739" s="17"/>
    </row>
    <row r="740">
      <c r="G740" s="17"/>
    </row>
    <row r="741">
      <c r="G741" s="17"/>
    </row>
    <row r="742">
      <c r="G742" s="17"/>
    </row>
    <row r="743">
      <c r="G743" s="17"/>
    </row>
    <row r="744">
      <c r="G744" s="17"/>
    </row>
    <row r="745">
      <c r="G745" s="17"/>
    </row>
    <row r="746">
      <c r="G746" s="17"/>
    </row>
    <row r="747">
      <c r="G747" s="17"/>
    </row>
    <row r="748">
      <c r="G748" s="17"/>
    </row>
    <row r="749">
      <c r="G749" s="17"/>
    </row>
    <row r="750">
      <c r="G750" s="17"/>
    </row>
    <row r="751">
      <c r="G751" s="17"/>
    </row>
    <row r="752">
      <c r="G752" s="17"/>
    </row>
    <row r="753">
      <c r="G753" s="17"/>
    </row>
    <row r="754">
      <c r="G754" s="17"/>
    </row>
    <row r="755">
      <c r="G755" s="17"/>
    </row>
    <row r="756">
      <c r="G756" s="17"/>
    </row>
    <row r="757">
      <c r="G757" s="17"/>
    </row>
    <row r="758">
      <c r="G758" s="17"/>
    </row>
    <row r="759">
      <c r="G759" s="17"/>
    </row>
    <row r="760">
      <c r="G760" s="17"/>
    </row>
    <row r="761">
      <c r="G761" s="17"/>
    </row>
    <row r="762">
      <c r="G762" s="17"/>
    </row>
    <row r="763">
      <c r="G763" s="17"/>
    </row>
    <row r="764">
      <c r="G764" s="17"/>
    </row>
    <row r="765">
      <c r="G765" s="17"/>
    </row>
    <row r="766">
      <c r="G766" s="17"/>
    </row>
    <row r="767">
      <c r="G767" s="17"/>
    </row>
    <row r="768">
      <c r="G768" s="17"/>
    </row>
    <row r="769">
      <c r="G769" s="17"/>
    </row>
    <row r="770">
      <c r="G770" s="17"/>
    </row>
    <row r="771">
      <c r="G771" s="17"/>
    </row>
    <row r="772">
      <c r="G772" s="17"/>
    </row>
    <row r="773">
      <c r="G773" s="17"/>
    </row>
    <row r="774">
      <c r="G774" s="17"/>
    </row>
    <row r="775">
      <c r="G775" s="17"/>
    </row>
    <row r="776">
      <c r="G776" s="17"/>
    </row>
    <row r="777">
      <c r="G777" s="17"/>
    </row>
    <row r="778">
      <c r="G778" s="17"/>
    </row>
    <row r="779">
      <c r="G779" s="17"/>
    </row>
    <row r="780">
      <c r="G780" s="17"/>
    </row>
    <row r="781">
      <c r="G781" s="17"/>
    </row>
    <row r="782">
      <c r="G782" s="17"/>
    </row>
    <row r="783">
      <c r="G783" s="17"/>
    </row>
    <row r="784">
      <c r="G784" s="17"/>
    </row>
    <row r="785">
      <c r="G785" s="17"/>
    </row>
    <row r="786">
      <c r="G786" s="17"/>
    </row>
    <row r="787">
      <c r="G787" s="17"/>
    </row>
    <row r="788">
      <c r="G788" s="17"/>
    </row>
    <row r="789">
      <c r="G789" s="17"/>
    </row>
    <row r="790">
      <c r="G790" s="17"/>
    </row>
    <row r="791">
      <c r="G791" s="17"/>
    </row>
    <row r="792">
      <c r="G792" s="17"/>
    </row>
    <row r="793">
      <c r="G793" s="17"/>
    </row>
    <row r="794">
      <c r="G794" s="17"/>
    </row>
    <row r="795">
      <c r="G795" s="17"/>
    </row>
    <row r="796">
      <c r="G796" s="17"/>
    </row>
    <row r="797">
      <c r="G797" s="17"/>
    </row>
    <row r="798">
      <c r="G798" s="17"/>
    </row>
    <row r="799">
      <c r="G799" s="17"/>
    </row>
    <row r="800">
      <c r="G800" s="17"/>
    </row>
    <row r="801">
      <c r="G801" s="17"/>
    </row>
    <row r="802">
      <c r="G802" s="17"/>
    </row>
    <row r="803">
      <c r="G803" s="17"/>
    </row>
    <row r="804">
      <c r="G804" s="17"/>
    </row>
    <row r="805">
      <c r="G805" s="17"/>
    </row>
    <row r="806">
      <c r="G806" s="17"/>
    </row>
    <row r="807">
      <c r="G807" s="17"/>
    </row>
    <row r="808">
      <c r="G808" s="17"/>
    </row>
    <row r="809">
      <c r="G809" s="17"/>
    </row>
    <row r="810">
      <c r="G810" s="17"/>
    </row>
    <row r="811">
      <c r="G811" s="17"/>
    </row>
    <row r="812">
      <c r="G812" s="17"/>
    </row>
    <row r="813">
      <c r="G813" s="17"/>
    </row>
    <row r="814">
      <c r="G814" s="17"/>
    </row>
    <row r="815">
      <c r="G815" s="17"/>
    </row>
    <row r="816">
      <c r="G816" s="17"/>
    </row>
    <row r="817">
      <c r="G817" s="17"/>
    </row>
    <row r="818">
      <c r="G818" s="17"/>
    </row>
    <row r="819">
      <c r="G819" s="17"/>
    </row>
    <row r="820">
      <c r="G820" s="17"/>
    </row>
    <row r="821">
      <c r="G821" s="17"/>
    </row>
    <row r="822">
      <c r="G822" s="17"/>
    </row>
    <row r="823">
      <c r="G823" s="17"/>
    </row>
    <row r="824">
      <c r="G824" s="17"/>
    </row>
    <row r="825">
      <c r="G825" s="17"/>
    </row>
    <row r="826">
      <c r="G826" s="17"/>
    </row>
    <row r="827">
      <c r="G827" s="17"/>
    </row>
    <row r="828">
      <c r="G828" s="17"/>
    </row>
    <row r="829">
      <c r="G829" s="17"/>
    </row>
    <row r="830">
      <c r="G830" s="17"/>
    </row>
    <row r="831">
      <c r="G831" s="17"/>
    </row>
    <row r="832">
      <c r="G832" s="17"/>
    </row>
    <row r="833">
      <c r="G833" s="17"/>
    </row>
    <row r="834">
      <c r="G834" s="17"/>
    </row>
    <row r="835">
      <c r="G835" s="17"/>
    </row>
    <row r="836">
      <c r="G836" s="17"/>
    </row>
    <row r="837">
      <c r="G837" s="17"/>
    </row>
    <row r="838">
      <c r="G838" s="17"/>
    </row>
    <row r="839">
      <c r="G839" s="17"/>
    </row>
    <row r="840">
      <c r="G840" s="17"/>
    </row>
    <row r="841">
      <c r="G841" s="17"/>
    </row>
    <row r="842">
      <c r="G842" s="17"/>
    </row>
    <row r="843">
      <c r="G843" s="17"/>
    </row>
    <row r="844">
      <c r="G844" s="17"/>
    </row>
    <row r="845">
      <c r="G845" s="17"/>
    </row>
    <row r="846">
      <c r="G846" s="17"/>
    </row>
    <row r="847">
      <c r="G847" s="17"/>
    </row>
    <row r="848">
      <c r="G848" s="17"/>
    </row>
    <row r="849">
      <c r="G849" s="17"/>
    </row>
    <row r="850">
      <c r="G850" s="17"/>
    </row>
    <row r="851">
      <c r="G851" s="17"/>
    </row>
    <row r="852">
      <c r="G852" s="17"/>
    </row>
    <row r="853">
      <c r="G853" s="17"/>
    </row>
    <row r="854">
      <c r="G854" s="17"/>
    </row>
    <row r="855">
      <c r="G855" s="17"/>
    </row>
    <row r="856">
      <c r="G856" s="17"/>
    </row>
    <row r="857">
      <c r="G857" s="17"/>
    </row>
    <row r="858">
      <c r="G858" s="17"/>
    </row>
    <row r="859">
      <c r="G859" s="17"/>
    </row>
    <row r="860">
      <c r="G860" s="17"/>
    </row>
    <row r="861">
      <c r="G861" s="17"/>
    </row>
    <row r="862">
      <c r="G862" s="17"/>
    </row>
    <row r="863">
      <c r="G863" s="17"/>
    </row>
    <row r="864">
      <c r="G864" s="17"/>
    </row>
    <row r="865">
      <c r="G865" s="17"/>
    </row>
    <row r="866">
      <c r="G866" s="17"/>
    </row>
    <row r="867">
      <c r="G867" s="17"/>
    </row>
    <row r="868">
      <c r="G868" s="17"/>
    </row>
    <row r="869">
      <c r="G869" s="17"/>
    </row>
    <row r="870">
      <c r="G870" s="17"/>
    </row>
    <row r="871">
      <c r="G871" s="17"/>
    </row>
    <row r="872">
      <c r="G872" s="17"/>
    </row>
    <row r="873">
      <c r="G873" s="17"/>
    </row>
    <row r="874">
      <c r="G874" s="17"/>
    </row>
    <row r="875">
      <c r="G875" s="17"/>
    </row>
    <row r="876">
      <c r="G876" s="17"/>
    </row>
    <row r="877">
      <c r="G877" s="17"/>
    </row>
    <row r="878">
      <c r="G878" s="17"/>
    </row>
    <row r="879">
      <c r="G879" s="17"/>
    </row>
    <row r="880">
      <c r="G880" s="17"/>
    </row>
    <row r="881">
      <c r="G881" s="17"/>
    </row>
    <row r="882">
      <c r="G882" s="17"/>
    </row>
    <row r="883">
      <c r="G883" s="17"/>
    </row>
    <row r="884">
      <c r="G884" s="17"/>
    </row>
    <row r="885">
      <c r="G885" s="17"/>
    </row>
    <row r="886">
      <c r="G886" s="17"/>
    </row>
    <row r="887">
      <c r="G887" s="17"/>
    </row>
    <row r="888">
      <c r="G888" s="17"/>
    </row>
    <row r="889">
      <c r="G889" s="17"/>
    </row>
    <row r="890">
      <c r="G890" s="17"/>
    </row>
    <row r="891">
      <c r="G891" s="17"/>
    </row>
    <row r="892">
      <c r="G892" s="17"/>
    </row>
    <row r="893">
      <c r="G893" s="17"/>
    </row>
    <row r="894">
      <c r="G894" s="17"/>
    </row>
    <row r="895">
      <c r="G895" s="17"/>
    </row>
    <row r="896">
      <c r="G896" s="17"/>
    </row>
    <row r="897">
      <c r="G897" s="17"/>
    </row>
    <row r="898">
      <c r="G898" s="17"/>
    </row>
    <row r="899">
      <c r="G899" s="17"/>
    </row>
    <row r="900">
      <c r="G900" s="17"/>
    </row>
    <row r="901">
      <c r="G901" s="17"/>
    </row>
    <row r="902">
      <c r="G902" s="17"/>
    </row>
    <row r="903">
      <c r="G903" s="17"/>
    </row>
    <row r="904">
      <c r="G904" s="17"/>
    </row>
    <row r="905">
      <c r="G905" s="17"/>
    </row>
    <row r="906">
      <c r="G906" s="17"/>
    </row>
    <row r="907">
      <c r="G907" s="17"/>
    </row>
    <row r="908">
      <c r="G908" s="17"/>
    </row>
    <row r="909">
      <c r="G909" s="17"/>
    </row>
    <row r="910">
      <c r="G910" s="17"/>
    </row>
    <row r="911">
      <c r="G911" s="17"/>
    </row>
    <row r="912">
      <c r="G912" s="17"/>
    </row>
    <row r="913">
      <c r="G913" s="17"/>
    </row>
    <row r="914">
      <c r="G914" s="17"/>
    </row>
    <row r="915">
      <c r="G915" s="17"/>
    </row>
    <row r="916">
      <c r="G916" s="17"/>
    </row>
    <row r="917">
      <c r="G917" s="17"/>
    </row>
    <row r="918">
      <c r="G918" s="17"/>
    </row>
    <row r="919">
      <c r="G919" s="17"/>
    </row>
    <row r="920">
      <c r="G920" s="17"/>
    </row>
    <row r="921">
      <c r="G921" s="17"/>
    </row>
    <row r="922">
      <c r="G922" s="17"/>
    </row>
    <row r="923">
      <c r="G923" s="17"/>
    </row>
    <row r="924">
      <c r="G924" s="17"/>
    </row>
    <row r="925">
      <c r="G925" s="17"/>
    </row>
    <row r="926">
      <c r="G926" s="17"/>
    </row>
    <row r="927">
      <c r="G927" s="17"/>
    </row>
    <row r="928">
      <c r="G928" s="17"/>
    </row>
    <row r="929">
      <c r="G929" s="17"/>
    </row>
    <row r="930">
      <c r="G930" s="17"/>
    </row>
    <row r="931">
      <c r="G931" s="17"/>
    </row>
    <row r="932">
      <c r="G932" s="17"/>
    </row>
    <row r="933">
      <c r="G933" s="17"/>
    </row>
    <row r="934">
      <c r="G934" s="17"/>
    </row>
    <row r="935">
      <c r="G935" s="17"/>
    </row>
    <row r="936">
      <c r="G936" s="17"/>
    </row>
    <row r="937">
      <c r="G937" s="17"/>
    </row>
    <row r="938">
      <c r="G938" s="17"/>
    </row>
    <row r="939">
      <c r="G939" s="17"/>
    </row>
    <row r="940">
      <c r="G940" s="17"/>
    </row>
    <row r="941">
      <c r="G941" s="17"/>
    </row>
    <row r="942">
      <c r="G942" s="17"/>
    </row>
    <row r="943">
      <c r="G943" s="17"/>
    </row>
    <row r="944">
      <c r="G944" s="17"/>
    </row>
    <row r="945">
      <c r="G945" s="17"/>
    </row>
    <row r="946">
      <c r="G946" s="17"/>
    </row>
    <row r="947">
      <c r="G947" s="17"/>
    </row>
    <row r="948">
      <c r="G948" s="17"/>
    </row>
    <row r="949">
      <c r="G949" s="17"/>
    </row>
    <row r="950">
      <c r="G950" s="17"/>
    </row>
    <row r="951">
      <c r="G951" s="17"/>
    </row>
    <row r="952">
      <c r="G952" s="17"/>
    </row>
    <row r="953">
      <c r="G953" s="17"/>
    </row>
    <row r="954">
      <c r="G954" s="17"/>
    </row>
    <row r="955">
      <c r="G955" s="17"/>
    </row>
    <row r="956">
      <c r="G956" s="17"/>
    </row>
    <row r="957">
      <c r="G957" s="17"/>
    </row>
    <row r="958">
      <c r="G958" s="17"/>
    </row>
    <row r="959">
      <c r="G959" s="17"/>
    </row>
    <row r="960">
      <c r="G960" s="17"/>
    </row>
    <row r="961">
      <c r="G961" s="17"/>
    </row>
    <row r="962">
      <c r="G962" s="17"/>
    </row>
    <row r="963">
      <c r="G963" s="17"/>
    </row>
    <row r="964">
      <c r="G964" s="17"/>
    </row>
    <row r="965">
      <c r="G965" s="17"/>
    </row>
    <row r="966">
      <c r="G966" s="17"/>
    </row>
    <row r="967">
      <c r="G967" s="17"/>
    </row>
    <row r="968">
      <c r="G968" s="17"/>
    </row>
    <row r="969">
      <c r="G969" s="17"/>
    </row>
    <row r="970">
      <c r="G970" s="17"/>
    </row>
    <row r="971">
      <c r="G971" s="17"/>
    </row>
    <row r="972">
      <c r="G972" s="17"/>
    </row>
    <row r="973">
      <c r="G973" s="17"/>
    </row>
    <row r="974">
      <c r="G974" s="17"/>
    </row>
    <row r="975">
      <c r="G975" s="17"/>
    </row>
    <row r="976">
      <c r="G976" s="17"/>
    </row>
    <row r="977">
      <c r="G977" s="17"/>
    </row>
    <row r="978">
      <c r="G978" s="17"/>
    </row>
    <row r="979">
      <c r="G979" s="17"/>
    </row>
    <row r="980">
      <c r="G980" s="17"/>
    </row>
    <row r="981">
      <c r="G981" s="17"/>
    </row>
    <row r="982">
      <c r="G982" s="17"/>
    </row>
    <row r="983">
      <c r="G983" s="17"/>
    </row>
    <row r="984">
      <c r="G984" s="17"/>
    </row>
    <row r="985">
      <c r="G985" s="17"/>
    </row>
    <row r="986">
      <c r="G986" s="17"/>
    </row>
    <row r="987">
      <c r="G987" s="17"/>
    </row>
    <row r="988">
      <c r="G988" s="17"/>
    </row>
    <row r="989">
      <c r="G989" s="17"/>
    </row>
    <row r="990">
      <c r="G990" s="17"/>
    </row>
    <row r="991">
      <c r="G991" s="17"/>
    </row>
    <row r="992">
      <c r="G992" s="17"/>
    </row>
    <row r="993">
      <c r="G993" s="17"/>
    </row>
    <row r="994">
      <c r="G994" s="17"/>
    </row>
    <row r="995">
      <c r="G995" s="17"/>
    </row>
    <row r="996">
      <c r="G996" s="17"/>
    </row>
    <row r="997">
      <c r="G997" s="17"/>
    </row>
    <row r="998">
      <c r="G998" s="17"/>
    </row>
    <row r="999">
      <c r="G999" s="17"/>
    </row>
    <row r="1000">
      <c r="G1000" s="17"/>
    </row>
    <row r="1001">
      <c r="G1001" s="17"/>
    </row>
    <row r="1002">
      <c r="G1002" s="17"/>
    </row>
    <row r="1003">
      <c r="G1003" s="17"/>
    </row>
    <row r="1004">
      <c r="G1004" s="17"/>
    </row>
    <row r="1005">
      <c r="G1005" s="17"/>
    </row>
    <row r="1006">
      <c r="G1006" s="17"/>
    </row>
    <row r="1007">
      <c r="G1007" s="17"/>
    </row>
    <row r="1008">
      <c r="G1008" s="17"/>
    </row>
    <row r="1009">
      <c r="G1009" s="17"/>
    </row>
    <row r="1010">
      <c r="G1010" s="17"/>
    </row>
    <row r="1011">
      <c r="G1011" s="17"/>
    </row>
    <row r="1012">
      <c r="G1012" s="17"/>
    </row>
    <row r="1013">
      <c r="G1013" s="17"/>
    </row>
    <row r="1014">
      <c r="G1014" s="17"/>
    </row>
    <row r="1015">
      <c r="G1015" s="17"/>
    </row>
    <row r="1016">
      <c r="G1016" s="17"/>
    </row>
    <row r="1017">
      <c r="G1017" s="17"/>
    </row>
    <row r="1018">
      <c r="G1018" s="17"/>
    </row>
    <row r="1019">
      <c r="G1019" s="17"/>
    </row>
    <row r="1020">
      <c r="G1020" s="17"/>
    </row>
    <row r="1021">
      <c r="G1021" s="17"/>
    </row>
    <row r="1022">
      <c r="G1022" s="17"/>
    </row>
    <row r="1023">
      <c r="G1023" s="17"/>
    </row>
    <row r="1024">
      <c r="G1024" s="17"/>
    </row>
    <row r="1025">
      <c r="G1025" s="17"/>
    </row>
    <row r="1026">
      <c r="G1026" s="17"/>
    </row>
    <row r="1027">
      <c r="G1027" s="17"/>
    </row>
    <row r="1028">
      <c r="G1028" s="17"/>
    </row>
    <row r="1029">
      <c r="G1029" s="17"/>
    </row>
    <row r="1030">
      <c r="G1030" s="17"/>
    </row>
    <row r="1031">
      <c r="G1031" s="17"/>
    </row>
    <row r="1032">
      <c r="G1032" s="17"/>
    </row>
    <row r="1033">
      <c r="G1033" s="17"/>
    </row>
    <row r="1034">
      <c r="G1034" s="17"/>
    </row>
    <row r="1035">
      <c r="G1035" s="17"/>
    </row>
    <row r="1036">
      <c r="G1036" s="17"/>
    </row>
    <row r="1037">
      <c r="G1037" s="17"/>
    </row>
  </sheetData>
  <mergeCells count="6">
    <mergeCell ref="A17:B17"/>
    <mergeCell ref="A33:B33"/>
    <mergeCell ref="A41:B41"/>
    <mergeCell ref="A49:B49"/>
    <mergeCell ref="A61:B61"/>
    <mergeCell ref="A78:B78"/>
  </mergeCells>
  <conditionalFormatting sqref="N11">
    <cfRule type="notContainsBlanks" dxfId="0" priority="1">
      <formula>LEN(TRIM(N11))&gt;0</formula>
    </cfRule>
  </conditionalFormatting>
  <dataValidations>
    <dataValidation type="list" allowBlank="1" showErrorMessage="1" sqref="H4:I14 H20:I29 H35:I37 H43:I45 H51:I57 H63:I74 H80:I82">
      <formula1>Cuentas!$A$2:$A$29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8.38"/>
    <col customWidth="1" min="2" max="2" width="22.38"/>
    <col customWidth="1" min="3" max="3" width="16.63"/>
    <col customWidth="1" min="4" max="4" width="14.63"/>
    <col customWidth="1" min="5" max="5" width="14.88"/>
    <col customWidth="1" min="6" max="6" width="15.88"/>
  </cols>
  <sheetData>
    <row r="1" ht="25.5" customHeight="1">
      <c r="A1" s="59" t="s">
        <v>88</v>
      </c>
      <c r="B1" s="60" t="s">
        <v>89</v>
      </c>
      <c r="C1" s="60" t="s">
        <v>90</v>
      </c>
      <c r="D1" s="59" t="s">
        <v>91</v>
      </c>
      <c r="E1" s="59" t="s">
        <v>92</v>
      </c>
      <c r="F1" s="59" t="s">
        <v>93</v>
      </c>
    </row>
    <row r="2" ht="22.5" customHeight="1">
      <c r="A2" s="61" t="s">
        <v>66</v>
      </c>
      <c r="B2" s="62" t="str">
        <f t="array" ref="B2">INDEX(Table3[CLABE], MATCH(A2, Table3[Nombre cuenta], 0))</f>
        <v>021180065930525793</v>
      </c>
      <c r="C2" s="62" t="str">
        <f t="array" ref="C2">INDEX(Table3[Codigo Referencia], MATCH(A2, Table3[Nombre cuenta], 0))</f>
        <v>0000011</v>
      </c>
      <c r="D2" s="62">
        <f>SUMIF(September!$I$3:$I$88, A2, September!$B$3:$B$88)</f>
        <v>39300</v>
      </c>
      <c r="E2" s="62">
        <f>SUMIF(September!$I$3:$I$88, A2, September!$C$3:$C$88)</f>
        <v>19650</v>
      </c>
      <c r="F2" s="63" t="b">
        <v>1</v>
      </c>
      <c r="H2" s="2" t="s">
        <v>94</v>
      </c>
    </row>
    <row r="3" ht="22.5" customHeight="1">
      <c r="A3" s="61" t="s">
        <v>14</v>
      </c>
      <c r="B3" s="62" t="str">
        <f t="array" ref="B3">INDEX(Table3[CLABE], MATCH(A3, Table3[Nombre cuenta], 0))</f>
        <v>138580000023894928</v>
      </c>
      <c r="C3" s="62" t="str">
        <f t="array" ref="C3">INDEX(Table3[Codigo Referencia], MATCH(A3, Table3[Nombre cuenta], 0))</f>
        <v>0000014</v>
      </c>
      <c r="D3" s="62">
        <f>SUMIF(September!$I$3:$I$88, A3, September!$B$3:$B$88)</f>
        <v>36400</v>
      </c>
      <c r="E3" s="62">
        <f>SUMIF(September!$I$3:$I$88, A3, September!$C$3:$C$88)</f>
        <v>18200</v>
      </c>
      <c r="F3" s="63" t="b">
        <v>1</v>
      </c>
      <c r="H3" s="2" t="s">
        <v>94</v>
      </c>
    </row>
    <row r="4" ht="22.5" customHeight="1">
      <c r="A4" s="61" t="s">
        <v>45</v>
      </c>
      <c r="B4" s="62" t="str">
        <f t="array" ref="B4">INDEX(Table3[CLABE], MATCH(A4, Table3[Nombre cuenta], 0))</f>
        <v>638180000177404193</v>
      </c>
      <c r="C4" s="62" t="str">
        <f t="array" ref="C4">INDEX(Table3[Codigo Referencia], MATCH(A4, Table3[Nombre cuenta], 0))</f>
        <v>0000016</v>
      </c>
      <c r="D4" s="62">
        <f>SUMIF(September!$I$3:$I$88, A4, September!$B$3:$B$88)</f>
        <v>21400</v>
      </c>
      <c r="E4" s="62">
        <f>SUMIF(September!$I$3:$I$88, A4, September!$C$3:$C$88)</f>
        <v>10700</v>
      </c>
      <c r="F4" s="63" t="b">
        <v>1</v>
      </c>
      <c r="H4" s="2" t="s">
        <v>94</v>
      </c>
    </row>
    <row r="5" ht="22.5" customHeight="1">
      <c r="A5" s="61" t="s">
        <v>56</v>
      </c>
      <c r="B5" s="62" t="str">
        <f t="array" ref="B5">INDEX(Table3[CLABE], MATCH(A5, Table3[Nombre cuenta], 0))</f>
        <v>638180000177404193</v>
      </c>
      <c r="C5" s="62" t="str">
        <f t="array" ref="C5">INDEX(Table3[Codigo Referencia], MATCH(A5, Table3[Nombre cuenta], 0))</f>
        <v>0000012</v>
      </c>
      <c r="D5" s="62">
        <f>SUMIF(September!$I$3:$I$88, A5, September!$B$3:$B$88)</f>
        <v>17200</v>
      </c>
      <c r="E5" s="62">
        <f>SUMIF(September!$I$3:$I$88, A5, September!$C$3:$C$88)</f>
        <v>8600</v>
      </c>
      <c r="F5" s="63" t="b">
        <v>1</v>
      </c>
      <c r="H5" s="2" t="s">
        <v>94</v>
      </c>
    </row>
    <row r="6" ht="22.5" customHeight="1">
      <c r="A6" s="61" t="s">
        <v>18</v>
      </c>
      <c r="B6" s="62" t="str">
        <f t="array" ref="B6">INDEX(Table3[CLABE], MATCH(A6, Table3[Nombre cuenta], 0))</f>
        <v>021180040690613986</v>
      </c>
      <c r="C6" s="62" t="str">
        <f t="array" ref="C6">INDEX(Table3[Codigo Referencia], MATCH(A6, Table3[Nombre cuenta], 0))</f>
        <v>0000001</v>
      </c>
      <c r="D6" s="62">
        <f>SUMIF(September!$I$3:$I$88, A6, September!$B$3:$B$88)</f>
        <v>13500</v>
      </c>
      <c r="E6" s="62">
        <f>SUMIF(September!$I$3:$I$88, A6, September!$C$3:$C$88)</f>
        <v>6750</v>
      </c>
      <c r="F6" s="63" t="b">
        <v>0</v>
      </c>
    </row>
    <row r="7" ht="22.5" customHeight="1">
      <c r="A7" s="61" t="s">
        <v>31</v>
      </c>
      <c r="B7" s="62" t="str">
        <f t="array" ref="B7">INDEX(Table3[CLABE], MATCH(A7, Table3[Nombre cuenta], 0))</f>
        <v>638180000177404193</v>
      </c>
      <c r="C7" s="62" t="str">
        <f t="array" ref="C7">INDEX(Table3[Codigo Referencia], MATCH(A7, Table3[Nombre cuenta], 0))</f>
        <v>0000013</v>
      </c>
      <c r="D7" s="62">
        <f>SUMIF(September!$I$3:$I$88, A7, September!$B$3:$B$88)</f>
        <v>11700</v>
      </c>
      <c r="E7" s="62">
        <f>SUMIF(September!$I$3:$I$88, A7, September!$C$3:$C$88)</f>
        <v>5850</v>
      </c>
      <c r="F7" s="63" t="b">
        <v>1</v>
      </c>
      <c r="H7" s="2" t="s">
        <v>94</v>
      </c>
    </row>
    <row r="8" ht="22.5" customHeight="1">
      <c r="A8" s="61" t="s">
        <v>22</v>
      </c>
      <c r="B8" s="62" t="str">
        <f t="array" ref="B8">INDEX(Table3[CLABE], MATCH(A8, Table3[Nombre cuenta], 0))</f>
        <v>646180402300057567</v>
      </c>
      <c r="C8" s="62" t="str">
        <f t="array" ref="C8">INDEX(Table3[Codigo Referencia], MATCH(A8, Table3[Nombre cuenta], 0))</f>
        <v>0000015</v>
      </c>
      <c r="D8" s="62">
        <f>SUMIF(September!$I$3:$I$88, A8, September!$B$3:$B$88)</f>
        <v>3400</v>
      </c>
      <c r="E8" s="62">
        <f>SUMIF(September!$I$3:$I$88, A8, September!$C$3:$C$88)</f>
        <v>1700</v>
      </c>
      <c r="F8" s="63" t="b">
        <v>1</v>
      </c>
      <c r="H8" s="2" t="s">
        <v>94</v>
      </c>
    </row>
    <row r="9" ht="22.5" customHeight="1">
      <c r="A9" s="61" t="s">
        <v>87</v>
      </c>
      <c r="B9" s="62" t="str">
        <f t="array" ref="B9">INDEX(Table3[CLABE], MATCH(A9, Table3[Nombre cuenta], 0))</f>
        <v>638180010151893079</v>
      </c>
      <c r="C9" s="62" t="str">
        <f t="array" ref="C9">INDEX(Table3[Codigo Referencia], MATCH(A9, Table3[Nombre cuenta], 0))</f>
        <v>0000004</v>
      </c>
      <c r="D9" s="62">
        <f>SUMIF(September!$I$3:$I$88, A9, September!$B$3:$B$88)</f>
        <v>2300</v>
      </c>
      <c r="E9" s="62">
        <f>SUMIF(September!$I$3:$I$88, A9, September!$C$3:$C$88)</f>
        <v>1150</v>
      </c>
      <c r="F9" s="63" t="b">
        <v>1</v>
      </c>
      <c r="H9" s="2" t="s">
        <v>94</v>
      </c>
    </row>
    <row r="10" ht="22.5" customHeight="1">
      <c r="A10" s="61" t="s">
        <v>50</v>
      </c>
      <c r="B10" s="62" t="str">
        <f t="array" ref="B10">INDEX(Table3[CLABE], MATCH(A10, Table3[Nombre cuenta], 0))</f>
        <v>601180400038253515</v>
      </c>
      <c r="C10" s="62" t="str">
        <f t="array" ref="C10">INDEX(Table3[Codigo Referencia], MATCH(A10, Table3[Nombre cuenta], 0))</f>
        <v>0000104</v>
      </c>
      <c r="D10" s="62">
        <f>SUMIF(September!$I$3:$I$88, A10, September!$B$3:$B$88)</f>
        <v>800</v>
      </c>
      <c r="E10" s="62">
        <f>SUMIF(September!$I$3:$I$88, A10, September!$C$3:$C$88)</f>
        <v>400</v>
      </c>
      <c r="F10" s="63" t="b">
        <v>1</v>
      </c>
    </row>
    <row r="11" ht="22.5" customHeight="1">
      <c r="A11" s="61" t="s">
        <v>52</v>
      </c>
      <c r="B11" s="62" t="str">
        <f t="array" ref="B11">INDEX(Table3[CLABE], MATCH(A11, Table3[Nombre cuenta], 0))</f>
        <v>601180400049499232</v>
      </c>
      <c r="C11" s="62" t="str">
        <f t="array" ref="C11">INDEX(Table3[Codigo Referencia], MATCH(A11, Table3[Nombre cuenta], 0))</f>
        <v>0000103</v>
      </c>
      <c r="D11" s="62">
        <f>SUMIF(September!$I$3:$I$88, A11, September!$B$3:$B$88)</f>
        <v>0</v>
      </c>
      <c r="E11" s="62">
        <f>SUMIF(September!$I$3:$I$88, A11, September!$C$3:$C$88)</f>
        <v>0</v>
      </c>
      <c r="F11" s="63" t="b">
        <v>1</v>
      </c>
    </row>
    <row r="14">
      <c r="A14" s="2" t="s">
        <v>95</v>
      </c>
      <c r="C14" s="54" t="s">
        <v>96</v>
      </c>
      <c r="D14" s="58">
        <f>SUM(Current_transactions_2[Total Mensual])</f>
        <v>146000</v>
      </c>
      <c r="E14" s="58">
        <f>SUM(Current_transactions_2[Total quincenal])</f>
        <v>73000</v>
      </c>
    </row>
  </sheetData>
  <dataValidations>
    <dataValidation type="custom" allowBlank="1" showDropDown="1" sqref="D2:E11">
      <formula1>AND(ISNUMBER(D2),(NOT(OR(NOT(ISERROR(DATEVALUE(D2))), AND(ISNUMBER(D2), LEFT(CELL("format", D2))="D")))))</formula1>
    </dataValidation>
    <dataValidation type="list" allowBlank="1" sqref="A2:A11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38"/>
    <col customWidth="1" min="3" max="3" width="17.13"/>
    <col customWidth="1" min="4" max="4" width="15.0"/>
    <col customWidth="1" min="5" max="5" width="14.63"/>
    <col customWidth="1" min="6" max="6" width="15.38"/>
    <col customWidth="1" min="7" max="7" width="20.5"/>
    <col customWidth="1" min="8" max="8" width="17.63"/>
    <col customWidth="1" min="9" max="9" width="17.0"/>
    <col customWidth="1" min="14" max="14" width="19.63"/>
  </cols>
  <sheetData>
    <row r="1">
      <c r="A1" s="64" t="s">
        <v>97</v>
      </c>
      <c r="J1" s="8"/>
    </row>
    <row r="2">
      <c r="A2" s="64"/>
      <c r="B2" s="2"/>
      <c r="C2" s="2"/>
      <c r="D2" s="2"/>
      <c r="E2" s="2"/>
      <c r="F2" s="2"/>
      <c r="G2" s="2"/>
      <c r="J2" s="8"/>
    </row>
    <row r="3" ht="22.5" customHeight="1">
      <c r="A3" s="65" t="s">
        <v>98</v>
      </c>
      <c r="B3" s="59" t="s">
        <v>99</v>
      </c>
      <c r="C3" s="59" t="s">
        <v>100</v>
      </c>
      <c r="D3" s="59" t="s">
        <v>101</v>
      </c>
      <c r="E3" s="59" t="s">
        <v>102</v>
      </c>
      <c r="F3" s="59" t="s">
        <v>103</v>
      </c>
      <c r="G3" s="59" t="s">
        <v>104</v>
      </c>
      <c r="J3" s="8"/>
    </row>
    <row r="4" ht="22.5" customHeight="1">
      <c r="A4" s="66" t="s">
        <v>105</v>
      </c>
      <c r="B4" s="67">
        <f>'Gastos Medicos Menores'!D60</f>
        <v>6354.68</v>
      </c>
      <c r="C4" s="68">
        <v>1.0</v>
      </c>
      <c r="D4" s="68">
        <v>0.0</v>
      </c>
      <c r="E4" s="62">
        <f t="shared" ref="E4:E14" si="1">B4/C4</f>
        <v>6354.68</v>
      </c>
      <c r="F4" s="69">
        <f t="shared" ref="F4:F7" si="2">B4-(D4*E4)</f>
        <v>6354.68</v>
      </c>
      <c r="G4" s="61" t="s">
        <v>33</v>
      </c>
      <c r="J4" s="8"/>
    </row>
    <row r="5" ht="22.5" customHeight="1">
      <c r="A5" s="66" t="s">
        <v>106</v>
      </c>
      <c r="B5" s="67">
        <f>'Gastos Generales'!C84</f>
        <v>1736.2</v>
      </c>
      <c r="C5" s="68">
        <v>1.0</v>
      </c>
      <c r="D5" s="68">
        <v>0.0</v>
      </c>
      <c r="E5" s="62">
        <f t="shared" si="1"/>
        <v>1736.2</v>
      </c>
      <c r="F5" s="69">
        <f t="shared" si="2"/>
        <v>1736.2</v>
      </c>
      <c r="G5" s="61" t="s">
        <v>33</v>
      </c>
      <c r="J5" s="7"/>
    </row>
    <row r="6" ht="22.5" customHeight="1">
      <c r="A6" s="66" t="s">
        <v>107</v>
      </c>
      <c r="B6" s="67">
        <f>'Gastos Medicos Mayores'!D38</f>
        <v>3802</v>
      </c>
      <c r="C6" s="68">
        <v>1.0</v>
      </c>
      <c r="D6" s="68">
        <v>0.0</v>
      </c>
      <c r="E6" s="62">
        <f t="shared" si="1"/>
        <v>3802</v>
      </c>
      <c r="F6" s="69">
        <f t="shared" si="2"/>
        <v>3802</v>
      </c>
      <c r="G6" s="61" t="s">
        <v>33</v>
      </c>
      <c r="I6" s="8"/>
      <c r="J6" s="8"/>
    </row>
    <row r="7" ht="22.5" customHeight="1">
      <c r="A7" s="66" t="s">
        <v>108</v>
      </c>
      <c r="B7" s="67">
        <f>'Gastos Alimentos'!B97</f>
        <v>1067.32</v>
      </c>
      <c r="C7" s="68">
        <v>1.0</v>
      </c>
      <c r="D7" s="68">
        <v>0.0</v>
      </c>
      <c r="E7" s="62">
        <f t="shared" si="1"/>
        <v>1067.32</v>
      </c>
      <c r="F7" s="69">
        <f t="shared" si="2"/>
        <v>1067.32</v>
      </c>
      <c r="G7" s="61" t="s">
        <v>44</v>
      </c>
      <c r="J7" s="8"/>
    </row>
    <row r="8" ht="22.5" customHeight="1">
      <c r="A8" s="63" t="s">
        <v>109</v>
      </c>
      <c r="B8" s="62">
        <f>'Gastos Viaje Texas Dec 25'!B45</f>
        <v>18942.52</v>
      </c>
      <c r="C8" s="70">
        <v>3.0</v>
      </c>
      <c r="D8" s="70">
        <v>2.0</v>
      </c>
      <c r="E8" s="62">
        <f t="shared" si="1"/>
        <v>6314.173333</v>
      </c>
      <c r="F8" s="69">
        <f t="shared" ref="F8:F11" si="3">(C8-D8)*E8</f>
        <v>6314.173333</v>
      </c>
      <c r="G8" s="61" t="s">
        <v>110</v>
      </c>
      <c r="J8" s="8"/>
    </row>
    <row r="9" ht="22.5" customHeight="1">
      <c r="A9" s="63" t="s">
        <v>111</v>
      </c>
      <c r="B9" s="71">
        <v>17280.0</v>
      </c>
      <c r="C9" s="70">
        <v>3.0</v>
      </c>
      <c r="D9" s="70">
        <v>2.0</v>
      </c>
      <c r="E9" s="62">
        <f t="shared" si="1"/>
        <v>5760</v>
      </c>
      <c r="F9" s="69">
        <f t="shared" si="3"/>
        <v>5760</v>
      </c>
      <c r="G9" s="61" t="s">
        <v>110</v>
      </c>
      <c r="H9" s="2"/>
    </row>
    <row r="10" ht="22.5" customHeight="1">
      <c r="A10" s="63" t="s">
        <v>112</v>
      </c>
      <c r="B10" s="71">
        <v>17280.0</v>
      </c>
      <c r="C10" s="70">
        <v>3.0</v>
      </c>
      <c r="D10" s="70">
        <v>3.0</v>
      </c>
      <c r="E10" s="62">
        <f t="shared" si="1"/>
        <v>5760</v>
      </c>
      <c r="F10" s="69">
        <f t="shared" si="3"/>
        <v>0</v>
      </c>
      <c r="G10" s="61" t="s">
        <v>110</v>
      </c>
      <c r="J10" s="8"/>
    </row>
    <row r="11" ht="22.5" customHeight="1">
      <c r="A11" s="63" t="s">
        <v>113</v>
      </c>
      <c r="B11" s="71">
        <v>17280.0</v>
      </c>
      <c r="C11" s="70">
        <v>3.0</v>
      </c>
      <c r="D11" s="70">
        <v>3.0</v>
      </c>
      <c r="E11" s="62">
        <f t="shared" si="1"/>
        <v>5760</v>
      </c>
      <c r="F11" s="69">
        <f t="shared" si="3"/>
        <v>0</v>
      </c>
      <c r="G11" s="61" t="s">
        <v>110</v>
      </c>
      <c r="J11" s="8"/>
    </row>
    <row r="12" ht="22.5" customHeight="1">
      <c r="A12" s="66" t="s">
        <v>114</v>
      </c>
      <c r="B12" s="72">
        <v>15024.74</v>
      </c>
      <c r="C12" s="68">
        <v>3.0</v>
      </c>
      <c r="D12" s="68">
        <v>3.0</v>
      </c>
      <c r="E12" s="62">
        <f t="shared" si="1"/>
        <v>5008.246667</v>
      </c>
      <c r="F12" s="69">
        <f>B12-(D12*E12)</f>
        <v>0</v>
      </c>
      <c r="G12" s="61" t="s">
        <v>110</v>
      </c>
      <c r="J12" s="8"/>
    </row>
    <row r="13" ht="22.5" customHeight="1">
      <c r="A13" s="66" t="s">
        <v>115</v>
      </c>
      <c r="B13" s="72">
        <v>6800.0</v>
      </c>
      <c r="C13" s="68">
        <v>9.0</v>
      </c>
      <c r="D13" s="68">
        <v>5.0</v>
      </c>
      <c r="E13" s="62">
        <f t="shared" si="1"/>
        <v>755.5555556</v>
      </c>
      <c r="F13" s="69">
        <f>(C13-D13)*E13</f>
        <v>3022.222222</v>
      </c>
      <c r="G13" s="61" t="s">
        <v>110</v>
      </c>
      <c r="I13" s="7"/>
      <c r="J13" s="7"/>
      <c r="O13" s="7"/>
    </row>
    <row r="14" ht="22.5" customHeight="1">
      <c r="A14" s="63" t="s">
        <v>116</v>
      </c>
      <c r="B14" s="71">
        <f>277.93+1303.35+112.81+262.09+1656.25</f>
        <v>3612.43</v>
      </c>
      <c r="C14" s="70">
        <v>3.0</v>
      </c>
      <c r="D14" s="70">
        <v>2.0</v>
      </c>
      <c r="E14" s="62">
        <f t="shared" si="1"/>
        <v>1204.143333</v>
      </c>
      <c r="F14" s="69">
        <f>B14-(D14*E14)</f>
        <v>1204.143333</v>
      </c>
      <c r="G14" s="61" t="s">
        <v>110</v>
      </c>
      <c r="I14" s="7"/>
      <c r="J14" s="7"/>
      <c r="O14" s="7"/>
    </row>
    <row r="15" ht="22.5" customHeight="1">
      <c r="A15" s="66" t="s">
        <v>110</v>
      </c>
      <c r="B15" s="72">
        <f>'Gastos Generales'!C83</f>
        <v>0</v>
      </c>
      <c r="C15" s="70">
        <v>1.0</v>
      </c>
      <c r="D15" s="70">
        <v>1.0</v>
      </c>
      <c r="E15" s="62">
        <f>(B15/C15)*(C15-D15)</f>
        <v>0</v>
      </c>
      <c r="F15" s="69">
        <f>(C15-D15)*E15</f>
        <v>0</v>
      </c>
      <c r="G15" s="61" t="s">
        <v>110</v>
      </c>
      <c r="I15" s="7"/>
      <c r="J15" s="7"/>
      <c r="O15" s="7"/>
    </row>
    <row r="16" ht="22.5" customHeight="1">
      <c r="A16" s="66" t="s">
        <v>117</v>
      </c>
      <c r="B16" s="67">
        <f>'Gastos Medicos Mayores'!D37</f>
        <v>1400</v>
      </c>
      <c r="C16" s="68">
        <v>1.0</v>
      </c>
      <c r="D16" s="68">
        <v>1.0</v>
      </c>
      <c r="E16" s="62">
        <f t="shared" ref="E16:E18" si="4">B16/C16</f>
        <v>1400</v>
      </c>
      <c r="F16" s="69">
        <f>B16-(D16*E16)</f>
        <v>0</v>
      </c>
      <c r="G16" s="61" t="s">
        <v>110</v>
      </c>
      <c r="I16" s="7"/>
      <c r="J16" s="7"/>
      <c r="O16" s="7"/>
    </row>
    <row r="17" ht="22.5" customHeight="1">
      <c r="A17" s="66" t="s">
        <v>118</v>
      </c>
      <c r="B17" s="72">
        <v>14500.0</v>
      </c>
      <c r="C17" s="68">
        <v>3.0</v>
      </c>
      <c r="D17" s="68">
        <v>3.0</v>
      </c>
      <c r="E17" s="62">
        <f t="shared" si="4"/>
        <v>4833.333333</v>
      </c>
      <c r="F17" s="69">
        <f>(C17-D17)*E17</f>
        <v>0</v>
      </c>
      <c r="G17" s="61" t="s">
        <v>110</v>
      </c>
      <c r="J17" s="7"/>
    </row>
    <row r="18" ht="22.5" customHeight="1">
      <c r="A18" s="66" t="s">
        <v>119</v>
      </c>
      <c r="B18" s="72">
        <f>'Gastos Medicos Menores'!D59</f>
        <v>0</v>
      </c>
      <c r="C18" s="68">
        <v>1.0</v>
      </c>
      <c r="D18" s="68">
        <v>0.0</v>
      </c>
      <c r="E18" s="62">
        <f t="shared" si="4"/>
        <v>0</v>
      </c>
      <c r="F18" s="69">
        <f>B18-(D18*E18)</f>
        <v>0</v>
      </c>
      <c r="G18" s="61" t="s">
        <v>110</v>
      </c>
      <c r="J18" s="8"/>
    </row>
    <row r="19" ht="22.5" customHeight="1">
      <c r="A19" s="66" t="s">
        <v>120</v>
      </c>
      <c r="B19" s="67">
        <f>'Gastos Alimentos'!G97+'Gastos Generales'!C89</f>
        <v>0</v>
      </c>
      <c r="C19" s="68">
        <v>1.0</v>
      </c>
      <c r="D19" s="68">
        <v>0.0</v>
      </c>
      <c r="E19" s="62">
        <f>(B19/C19)*(C19-D19)</f>
        <v>0</v>
      </c>
      <c r="F19" s="69">
        <f t="shared" ref="F19:F22" si="5">(C19-D19)*E19</f>
        <v>0</v>
      </c>
      <c r="G19" s="61" t="s">
        <v>121</v>
      </c>
      <c r="J19" s="8"/>
    </row>
    <row r="20" ht="22.5" customHeight="1">
      <c r="A20" s="66" t="s">
        <v>122</v>
      </c>
      <c r="B20" s="71">
        <v>37794.6</v>
      </c>
      <c r="C20" s="68">
        <v>18.0</v>
      </c>
      <c r="D20" s="68">
        <v>9.0</v>
      </c>
      <c r="E20" s="73">
        <f t="shared" ref="E20:E23" si="6">B20/C20</f>
        <v>2099.7</v>
      </c>
      <c r="F20" s="74">
        <f t="shared" si="5"/>
        <v>18897.3</v>
      </c>
      <c r="G20" s="75" t="s">
        <v>13</v>
      </c>
      <c r="J20" s="8"/>
    </row>
    <row r="21" ht="22.5" customHeight="1">
      <c r="A21" s="66" t="s">
        <v>123</v>
      </c>
      <c r="B21" s="72">
        <f>'Gastos Viaje Texas Dec 25'!B12</f>
        <v>20555.63</v>
      </c>
      <c r="C21" s="68">
        <v>6.0</v>
      </c>
      <c r="D21" s="68">
        <v>2.0</v>
      </c>
      <c r="E21" s="62">
        <f t="shared" si="6"/>
        <v>3425.938333</v>
      </c>
      <c r="F21" s="69">
        <f t="shared" si="5"/>
        <v>13703.75333</v>
      </c>
      <c r="G21" s="61" t="s">
        <v>13</v>
      </c>
      <c r="J21" s="8"/>
    </row>
    <row r="22" ht="22.5" customHeight="1">
      <c r="A22" s="66" t="s">
        <v>124</v>
      </c>
      <c r="B22" s="72">
        <v>10246.2</v>
      </c>
      <c r="C22" s="68">
        <v>6.0</v>
      </c>
      <c r="D22" s="68">
        <v>2.0</v>
      </c>
      <c r="E22" s="62">
        <f t="shared" si="6"/>
        <v>1707.7</v>
      </c>
      <c r="F22" s="69">
        <f t="shared" si="5"/>
        <v>6830.8</v>
      </c>
      <c r="G22" s="61" t="s">
        <v>13</v>
      </c>
      <c r="I22" s="64"/>
      <c r="J22" s="7"/>
    </row>
    <row r="23" ht="22.5" customHeight="1">
      <c r="A23" s="66" t="s">
        <v>125</v>
      </c>
      <c r="B23" s="72">
        <v>7390.75</v>
      </c>
      <c r="C23" s="68">
        <v>9.0</v>
      </c>
      <c r="D23" s="68">
        <v>3.0</v>
      </c>
      <c r="E23" s="62">
        <f t="shared" si="6"/>
        <v>821.1944444</v>
      </c>
      <c r="F23" s="69">
        <f>B23-(D23*E23)</f>
        <v>4927.166667</v>
      </c>
      <c r="G23" s="61" t="s">
        <v>13</v>
      </c>
      <c r="I23" s="64"/>
      <c r="J23" s="7"/>
    </row>
    <row r="24" ht="22.5" customHeight="1">
      <c r="A24" s="63" t="s">
        <v>126</v>
      </c>
      <c r="B24" s="62">
        <f>'Gastos WE'!C65</f>
        <v>0</v>
      </c>
      <c r="C24" s="70">
        <v>1.0</v>
      </c>
      <c r="D24" s="70">
        <v>0.0</v>
      </c>
      <c r="E24" s="62">
        <f>(B24/C24)*(C24-D24)</f>
        <v>0</v>
      </c>
      <c r="F24" s="69">
        <f t="shared" ref="F24:F37" si="7">(C24-D24)*E24</f>
        <v>0</v>
      </c>
      <c r="G24" s="61" t="s">
        <v>13</v>
      </c>
      <c r="I24" s="64"/>
      <c r="J24" s="7"/>
    </row>
    <row r="25" ht="22.5" customHeight="1">
      <c r="A25" s="63" t="s">
        <v>127</v>
      </c>
      <c r="B25" s="71">
        <v>3999.0</v>
      </c>
      <c r="C25" s="70">
        <v>6.0</v>
      </c>
      <c r="D25" s="70">
        <v>2.0</v>
      </c>
      <c r="E25" s="62">
        <f>B25/C25</f>
        <v>666.5</v>
      </c>
      <c r="F25" s="69">
        <f t="shared" si="7"/>
        <v>2666</v>
      </c>
      <c r="G25" s="61" t="s">
        <v>13</v>
      </c>
      <c r="I25" s="64"/>
      <c r="J25" s="7"/>
      <c r="O25" s="7"/>
    </row>
    <row r="26" ht="22.5" customHeight="1">
      <c r="A26" s="63" t="s">
        <v>128</v>
      </c>
      <c r="B26" s="62">
        <f>'Gastos WE'!G65+'Gastos Medicos Menores'!D61</f>
        <v>0</v>
      </c>
      <c r="C26" s="70">
        <v>1.0</v>
      </c>
      <c r="D26" s="70">
        <v>0.0</v>
      </c>
      <c r="E26" s="62">
        <f>(B26/C26)*(C26-D26)</f>
        <v>0</v>
      </c>
      <c r="F26" s="69">
        <f t="shared" si="7"/>
        <v>0</v>
      </c>
      <c r="G26" s="61" t="s">
        <v>13</v>
      </c>
      <c r="I26" s="64"/>
      <c r="J26" s="7"/>
      <c r="O26" s="7"/>
    </row>
    <row r="27" ht="22.5" customHeight="1">
      <c r="A27" s="63" t="s">
        <v>129</v>
      </c>
      <c r="B27" s="71">
        <v>2668.0</v>
      </c>
      <c r="C27" s="70">
        <v>3.0</v>
      </c>
      <c r="D27" s="70">
        <v>2.0</v>
      </c>
      <c r="E27" s="62">
        <f t="shared" ref="E27:E36" si="8">B27/C27</f>
        <v>889.3333333</v>
      </c>
      <c r="F27" s="69">
        <f t="shared" si="7"/>
        <v>889.3333333</v>
      </c>
      <c r="G27" s="61" t="s">
        <v>13</v>
      </c>
      <c r="I27" s="64"/>
      <c r="J27" s="7"/>
    </row>
    <row r="28" ht="22.5" customHeight="1">
      <c r="A28" s="66" t="s">
        <v>130</v>
      </c>
      <c r="B28" s="72">
        <v>7653.0</v>
      </c>
      <c r="C28" s="68">
        <v>9.0</v>
      </c>
      <c r="D28" s="68">
        <v>9.0</v>
      </c>
      <c r="E28" s="73">
        <f t="shared" si="8"/>
        <v>850.3333333</v>
      </c>
      <c r="F28" s="74">
        <f t="shared" si="7"/>
        <v>0</v>
      </c>
      <c r="G28" s="75" t="s">
        <v>13</v>
      </c>
      <c r="I28" s="64"/>
      <c r="J28" s="7"/>
    </row>
    <row r="29" ht="22.5" customHeight="1">
      <c r="A29" s="66" t="s">
        <v>131</v>
      </c>
      <c r="B29" s="72">
        <v>4998.84</v>
      </c>
      <c r="C29" s="68">
        <v>12.0</v>
      </c>
      <c r="D29" s="68">
        <v>11.0</v>
      </c>
      <c r="E29" s="62">
        <f t="shared" si="8"/>
        <v>416.57</v>
      </c>
      <c r="F29" s="74">
        <f t="shared" si="7"/>
        <v>416.57</v>
      </c>
      <c r="G29" s="61" t="s">
        <v>13</v>
      </c>
      <c r="I29" s="64"/>
      <c r="J29" s="7"/>
    </row>
    <row r="30" ht="22.5" customHeight="1">
      <c r="A30" s="66" t="s">
        <v>132</v>
      </c>
      <c r="B30" s="72">
        <v>6291.0</v>
      </c>
      <c r="C30" s="68">
        <v>9.0</v>
      </c>
      <c r="D30" s="68">
        <v>9.0</v>
      </c>
      <c r="E30" s="73">
        <f t="shared" si="8"/>
        <v>699</v>
      </c>
      <c r="F30" s="74">
        <f t="shared" si="7"/>
        <v>0</v>
      </c>
      <c r="G30" s="75" t="s">
        <v>13</v>
      </c>
      <c r="I30" s="64"/>
      <c r="J30" s="7"/>
    </row>
    <row r="31" ht="22.5" customHeight="1">
      <c r="A31" s="66" t="s">
        <v>133</v>
      </c>
      <c r="B31" s="72">
        <v>4169.0</v>
      </c>
      <c r="C31" s="68">
        <v>9.0</v>
      </c>
      <c r="D31" s="68">
        <v>9.0</v>
      </c>
      <c r="E31" s="73">
        <f t="shared" si="8"/>
        <v>463.2222222</v>
      </c>
      <c r="F31" s="74">
        <f t="shared" si="7"/>
        <v>0</v>
      </c>
      <c r="G31" s="75" t="s">
        <v>13</v>
      </c>
      <c r="I31" s="64"/>
      <c r="J31" s="7"/>
    </row>
    <row r="32" ht="22.5" customHeight="1">
      <c r="A32" s="63" t="s">
        <v>134</v>
      </c>
      <c r="B32" s="62">
        <f>'Gastos Medicos Menores'!D61</f>
        <v>0</v>
      </c>
      <c r="C32" s="70">
        <v>1.0</v>
      </c>
      <c r="D32" s="70">
        <v>0.0</v>
      </c>
      <c r="E32" s="62">
        <f t="shared" si="8"/>
        <v>0</v>
      </c>
      <c r="F32" s="69">
        <f t="shared" si="7"/>
        <v>0</v>
      </c>
      <c r="G32" s="61" t="s">
        <v>13</v>
      </c>
      <c r="I32" s="64"/>
      <c r="J32" s="7"/>
    </row>
    <row r="33" ht="22.5" customHeight="1">
      <c r="A33" s="66" t="s">
        <v>135</v>
      </c>
      <c r="B33" s="72">
        <v>3168.41</v>
      </c>
      <c r="C33" s="68">
        <v>6.0</v>
      </c>
      <c r="D33" s="68">
        <v>6.0</v>
      </c>
      <c r="E33" s="62">
        <f t="shared" si="8"/>
        <v>528.0683333</v>
      </c>
      <c r="F33" s="74">
        <f t="shared" si="7"/>
        <v>0</v>
      </c>
      <c r="G33" s="61" t="s">
        <v>13</v>
      </c>
      <c r="I33" s="64"/>
      <c r="J33" s="7"/>
    </row>
    <row r="34" ht="22.5" customHeight="1">
      <c r="A34" s="66" t="s">
        <v>136</v>
      </c>
      <c r="B34" s="72">
        <v>12244.0</v>
      </c>
      <c r="C34" s="68">
        <v>6.0</v>
      </c>
      <c r="D34" s="68">
        <v>6.0</v>
      </c>
      <c r="E34" s="62">
        <f t="shared" si="8"/>
        <v>2040.666667</v>
      </c>
      <c r="F34" s="69">
        <f t="shared" si="7"/>
        <v>0</v>
      </c>
      <c r="G34" s="61" t="s">
        <v>13</v>
      </c>
      <c r="I34" s="64"/>
      <c r="J34" s="7"/>
    </row>
    <row r="35" ht="22.5" customHeight="1">
      <c r="A35" s="76" t="s">
        <v>137</v>
      </c>
      <c r="B35" s="71">
        <v>13498.0</v>
      </c>
      <c r="C35" s="70">
        <v>12.0</v>
      </c>
      <c r="D35" s="70">
        <v>12.0</v>
      </c>
      <c r="E35" s="62">
        <f t="shared" si="8"/>
        <v>1124.833333</v>
      </c>
      <c r="F35" s="74">
        <f t="shared" si="7"/>
        <v>0</v>
      </c>
      <c r="G35" s="61" t="s">
        <v>13</v>
      </c>
      <c r="I35" s="64"/>
      <c r="J35" s="7"/>
    </row>
    <row r="36" ht="22.5" customHeight="1">
      <c r="A36" s="76" t="s">
        <v>127</v>
      </c>
      <c r="B36" s="71">
        <v>31641.36</v>
      </c>
      <c r="C36" s="70">
        <v>6.0</v>
      </c>
      <c r="D36" s="70">
        <v>1.0</v>
      </c>
      <c r="E36" s="62">
        <f t="shared" si="8"/>
        <v>5273.56</v>
      </c>
      <c r="F36" s="74">
        <f t="shared" si="7"/>
        <v>26367.8</v>
      </c>
      <c r="G36" s="61" t="s">
        <v>13</v>
      </c>
      <c r="I36" s="64"/>
      <c r="J36" s="7"/>
      <c r="O36" s="7"/>
    </row>
    <row r="37" ht="22.5" customHeight="1">
      <c r="A37" s="63" t="s">
        <v>138</v>
      </c>
      <c r="B37" s="71">
        <f>'Gastos Generales'!C85</f>
        <v>0</v>
      </c>
      <c r="C37" s="70">
        <v>1.0</v>
      </c>
      <c r="D37" s="70">
        <v>0.0</v>
      </c>
      <c r="E37" s="62">
        <f>(B37/C37)*(C37-D37)</f>
        <v>0</v>
      </c>
      <c r="F37" s="69">
        <f t="shared" si="7"/>
        <v>0</v>
      </c>
      <c r="G37" s="61" t="s">
        <v>139</v>
      </c>
      <c r="J37" s="7"/>
      <c r="O37" s="7"/>
    </row>
    <row r="38" ht="22.5" customHeight="1">
      <c r="A38" s="66" t="s">
        <v>140</v>
      </c>
      <c r="B38" s="72">
        <f>'Gastos Generales'!B88</f>
        <v>0</v>
      </c>
      <c r="C38" s="68">
        <v>1.0</v>
      </c>
      <c r="D38" s="68">
        <v>0.0</v>
      </c>
      <c r="E38" s="62">
        <f>B38/C38</f>
        <v>0</v>
      </c>
      <c r="F38" s="69">
        <f>B38-(D38*E38)</f>
        <v>0</v>
      </c>
      <c r="G38" s="61" t="s">
        <v>141</v>
      </c>
      <c r="O38" s="7"/>
    </row>
    <row r="39" ht="22.5" customHeight="1">
      <c r="A39" s="66" t="s">
        <v>142</v>
      </c>
      <c r="B39" s="71">
        <f>'Gastos Generales'!C86</f>
        <v>0</v>
      </c>
      <c r="C39" s="70">
        <v>1.0</v>
      </c>
      <c r="D39" s="70">
        <v>0.0</v>
      </c>
      <c r="E39" s="62">
        <f>(B39/C39)*(C39-D39)</f>
        <v>0</v>
      </c>
      <c r="F39" s="69">
        <f>(C39-D39)*E39</f>
        <v>0</v>
      </c>
      <c r="G39" s="61" t="s">
        <v>143</v>
      </c>
      <c r="J39" s="7"/>
      <c r="O39" s="7"/>
    </row>
    <row r="40" ht="22.5" customHeight="1">
      <c r="A40" s="66" t="s">
        <v>144</v>
      </c>
      <c r="B40" s="72">
        <f>'Gastos Generales'!C87</f>
        <v>8315</v>
      </c>
      <c r="C40" s="68">
        <v>1.0</v>
      </c>
      <c r="D40" s="68">
        <v>0.0</v>
      </c>
      <c r="E40" s="62">
        <f t="shared" ref="E40:E44" si="9">B40/C40</f>
        <v>8315</v>
      </c>
      <c r="F40" s="69">
        <f t="shared" ref="F40:F44" si="10">B40-(D40*E40)</f>
        <v>8315</v>
      </c>
      <c r="G40" s="61" t="s">
        <v>145</v>
      </c>
      <c r="I40" s="77"/>
      <c r="J40" s="8"/>
      <c r="O40" s="8"/>
    </row>
    <row r="41" ht="22.5" customHeight="1">
      <c r="A41" s="66" t="s">
        <v>146</v>
      </c>
      <c r="B41" s="71">
        <v>36620.0</v>
      </c>
      <c r="C41" s="68">
        <v>6.0</v>
      </c>
      <c r="D41" s="68">
        <v>4.0</v>
      </c>
      <c r="E41" s="62">
        <f t="shared" si="9"/>
        <v>6103.333333</v>
      </c>
      <c r="F41" s="69">
        <f t="shared" si="10"/>
        <v>12206.66667</v>
      </c>
      <c r="G41" s="61" t="s">
        <v>147</v>
      </c>
      <c r="J41" s="8"/>
      <c r="O41" s="8"/>
    </row>
    <row r="42" ht="22.5" customHeight="1">
      <c r="A42" s="66" t="s">
        <v>148</v>
      </c>
      <c r="B42" s="72">
        <v>5148.0</v>
      </c>
      <c r="C42" s="68">
        <v>6.0</v>
      </c>
      <c r="D42" s="68">
        <v>6.0</v>
      </c>
      <c r="E42" s="62">
        <f t="shared" si="9"/>
        <v>858</v>
      </c>
      <c r="F42" s="69">
        <f t="shared" si="10"/>
        <v>0</v>
      </c>
      <c r="G42" s="61" t="s">
        <v>147</v>
      </c>
      <c r="J42" s="8"/>
    </row>
    <row r="43" ht="22.5" customHeight="1">
      <c r="A43" s="66" t="s">
        <v>149</v>
      </c>
      <c r="B43" s="72">
        <v>17280.0</v>
      </c>
      <c r="C43" s="68">
        <v>3.0</v>
      </c>
      <c r="D43" s="68">
        <v>1.0</v>
      </c>
      <c r="E43" s="62">
        <f t="shared" si="9"/>
        <v>5760</v>
      </c>
      <c r="F43" s="69">
        <f t="shared" si="10"/>
        <v>11520</v>
      </c>
      <c r="G43" s="61" t="s">
        <v>110</v>
      </c>
      <c r="J43" s="8"/>
    </row>
    <row r="44" ht="22.5" customHeight="1">
      <c r="A44" s="66" t="s">
        <v>150</v>
      </c>
      <c r="B44" s="72">
        <v>3259.08</v>
      </c>
      <c r="C44" s="68">
        <v>6.0</v>
      </c>
      <c r="D44" s="68">
        <v>1.0</v>
      </c>
      <c r="E44" s="62">
        <f t="shared" si="9"/>
        <v>543.18</v>
      </c>
      <c r="F44" s="69">
        <f t="shared" si="10"/>
        <v>2715.9</v>
      </c>
      <c r="G44" s="61" t="s">
        <v>110</v>
      </c>
      <c r="J44" s="8"/>
    </row>
    <row r="45" ht="22.5" customHeight="1">
      <c r="A45" s="78"/>
      <c r="B45" s="67"/>
      <c r="C45" s="79"/>
      <c r="D45" s="79"/>
      <c r="E45" s="67"/>
      <c r="F45" s="80"/>
      <c r="G45" s="81"/>
      <c r="J45" s="8"/>
    </row>
    <row r="46" ht="22.5" customHeight="1">
      <c r="A46" s="78"/>
      <c r="B46" s="67"/>
      <c r="C46" s="79"/>
      <c r="D46" s="79"/>
      <c r="E46" s="67"/>
      <c r="F46" s="80"/>
      <c r="G46" s="81"/>
      <c r="J46" s="8"/>
    </row>
    <row r="47">
      <c r="A47" s="64" t="s">
        <v>151</v>
      </c>
      <c r="B47" s="8">
        <f>SUM(B4:B25)</f>
        <v>205066.07</v>
      </c>
      <c r="E47" s="2" t="s">
        <v>152</v>
      </c>
      <c r="F47" s="8">
        <f>SUM(F4:F25)</f>
        <v>76285.75889</v>
      </c>
      <c r="H47" s="2" t="s">
        <v>153</v>
      </c>
      <c r="I47" s="2" t="s">
        <v>154</v>
      </c>
      <c r="J47" s="8"/>
    </row>
    <row r="48">
      <c r="A48" s="82"/>
      <c r="J48" s="8"/>
    </row>
    <row r="49">
      <c r="A49" s="64" t="s">
        <v>155</v>
      </c>
      <c r="B49" s="2" t="s">
        <v>13</v>
      </c>
      <c r="C49" s="8">
        <f>SUMIF($G$2:$G$47, B49, $F$2:$F$47)</f>
        <v>74698.72333</v>
      </c>
      <c r="E49" s="2" t="s">
        <v>156</v>
      </c>
      <c r="F49" s="2" t="s">
        <v>141</v>
      </c>
      <c r="G49" s="8">
        <f>SUMIF($G$2:$G$42, F49, $E$2:$E$42)</f>
        <v>0</v>
      </c>
      <c r="H49" s="2">
        <v>12.0</v>
      </c>
      <c r="I49" s="2">
        <v>2.0</v>
      </c>
      <c r="J49" s="8"/>
    </row>
    <row r="50">
      <c r="A50" s="82"/>
      <c r="B50" s="2" t="s">
        <v>141</v>
      </c>
      <c r="C50" s="8">
        <f t="shared" ref="C50:C55" si="11">SUMIF($G$2:$G$48, B50, $F$2:$F$48)</f>
        <v>0</v>
      </c>
      <c r="F50" s="2" t="s">
        <v>147</v>
      </c>
      <c r="G50" s="8">
        <f t="shared" ref="G50:G58" si="12">SUMIFS($E$2:$E$42,$G$2:$G$42, F50, $C$2:$C$42, "=1")</f>
        <v>0</v>
      </c>
      <c r="H50" s="2">
        <v>16.0</v>
      </c>
      <c r="I50" s="2">
        <v>7.0</v>
      </c>
      <c r="J50" s="8"/>
    </row>
    <row r="51">
      <c r="A51" s="82"/>
      <c r="B51" s="2" t="s">
        <v>147</v>
      </c>
      <c r="C51" s="8">
        <f t="shared" si="11"/>
        <v>12206.66667</v>
      </c>
      <c r="F51" s="2" t="s">
        <v>13</v>
      </c>
      <c r="G51" s="8">
        <f t="shared" si="12"/>
        <v>0</v>
      </c>
      <c r="J51" s="8"/>
    </row>
    <row r="52">
      <c r="A52" s="82"/>
      <c r="B52" s="2" t="s">
        <v>143</v>
      </c>
      <c r="C52" s="8">
        <f t="shared" si="11"/>
        <v>0</v>
      </c>
      <c r="F52" s="2" t="s">
        <v>33</v>
      </c>
      <c r="G52" s="8">
        <f t="shared" si="12"/>
        <v>11892.88</v>
      </c>
      <c r="H52" s="2">
        <v>30.0</v>
      </c>
      <c r="I52" s="2">
        <v>14.0</v>
      </c>
      <c r="J52" s="8"/>
    </row>
    <row r="53">
      <c r="A53" s="82"/>
      <c r="B53" s="2" t="s">
        <v>33</v>
      </c>
      <c r="C53" s="8">
        <f t="shared" si="11"/>
        <v>11892.88</v>
      </c>
      <c r="F53" s="2" t="s">
        <v>145</v>
      </c>
      <c r="G53" s="8">
        <f t="shared" si="12"/>
        <v>8315</v>
      </c>
      <c r="H53" s="2">
        <v>11.0</v>
      </c>
      <c r="I53" s="2">
        <v>30.0</v>
      </c>
      <c r="J53" s="8"/>
    </row>
    <row r="54">
      <c r="A54" s="82"/>
      <c r="B54" s="2" t="s">
        <v>110</v>
      </c>
      <c r="C54" s="8">
        <f t="shared" si="11"/>
        <v>30536.43889</v>
      </c>
      <c r="F54" s="2" t="s">
        <v>44</v>
      </c>
      <c r="G54" s="8">
        <f t="shared" si="12"/>
        <v>1067.32</v>
      </c>
      <c r="H54" s="2">
        <v>18.0</v>
      </c>
      <c r="I54" s="2">
        <v>18.0</v>
      </c>
      <c r="J54" s="8"/>
    </row>
    <row r="55">
      <c r="A55" s="82"/>
      <c r="B55" s="2" t="s">
        <v>44</v>
      </c>
      <c r="C55" s="8">
        <f t="shared" si="11"/>
        <v>1067.32</v>
      </c>
      <c r="F55" s="83" t="s">
        <v>143</v>
      </c>
      <c r="G55" s="8">
        <f t="shared" si="12"/>
        <v>0</v>
      </c>
      <c r="J55" s="8"/>
    </row>
    <row r="56">
      <c r="A56" s="82"/>
      <c r="F56" s="83" t="s">
        <v>121</v>
      </c>
      <c r="G56" s="8">
        <f t="shared" si="12"/>
        <v>0</v>
      </c>
      <c r="H56" s="2">
        <v>27.0</v>
      </c>
      <c r="I56" s="2">
        <v>27.0</v>
      </c>
      <c r="J56" s="8"/>
    </row>
    <row r="57">
      <c r="A57" s="82"/>
      <c r="F57" s="83" t="s">
        <v>139</v>
      </c>
      <c r="G57" s="8">
        <f t="shared" si="12"/>
        <v>0</v>
      </c>
      <c r="H57" s="2">
        <v>16.0</v>
      </c>
      <c r="I57" s="2">
        <v>8.0</v>
      </c>
      <c r="J57" s="8"/>
    </row>
    <row r="58">
      <c r="A58" s="82"/>
      <c r="F58" s="83" t="s">
        <v>110</v>
      </c>
      <c r="G58" s="8">
        <f t="shared" si="12"/>
        <v>1400</v>
      </c>
      <c r="J58" s="8"/>
    </row>
    <row r="59">
      <c r="A59" s="82"/>
      <c r="J59" s="8"/>
    </row>
    <row r="60">
      <c r="A60" s="82"/>
      <c r="J60" s="8"/>
    </row>
    <row r="61">
      <c r="A61" s="82"/>
      <c r="C61" s="8">
        <f>400000-C54</f>
        <v>369463.5611</v>
      </c>
      <c r="E61" s="2" t="s">
        <v>157</v>
      </c>
      <c r="J61" s="8"/>
    </row>
    <row r="62">
      <c r="A62" s="82"/>
      <c r="F62" s="2" t="s">
        <v>13</v>
      </c>
      <c r="G62" s="8">
        <f>SUMIFS($E$2:$E$25,$G$2:$G$25, F62, $C$2:$C$25, "&gt;1")</f>
        <v>8721.032778</v>
      </c>
      <c r="J62" s="8"/>
    </row>
    <row r="63">
      <c r="A63" s="82"/>
      <c r="F63" s="2" t="s">
        <v>147</v>
      </c>
      <c r="G63" s="8">
        <f>SUMIFS($E$2:$E$35,$G$2:$G$35, F63, $C$2:$C$35, "&gt;1")</f>
        <v>0</v>
      </c>
      <c r="J63" s="8"/>
    </row>
    <row r="64">
      <c r="A64" s="82"/>
      <c r="F64" s="2" t="s">
        <v>110</v>
      </c>
      <c r="G64" s="8">
        <f>SUMIFS($E$2:$E$25,$G$2:$G$25, F64, $C$2:$C$25, "&gt;1")</f>
        <v>35395.45222</v>
      </c>
      <c r="J64" s="8"/>
    </row>
    <row r="65">
      <c r="A65" s="82"/>
      <c r="J65" s="8"/>
    </row>
    <row r="66">
      <c r="A66" s="82"/>
      <c r="I66" s="23">
        <f>18051.01-16170.96</f>
        <v>1880.05</v>
      </c>
      <c r="J66" s="8"/>
    </row>
    <row r="67">
      <c r="A67" s="84">
        <f>100406.45-C49</f>
        <v>25707.72667</v>
      </c>
      <c r="J67" s="8"/>
    </row>
    <row r="68">
      <c r="A68" s="82"/>
      <c r="J68" s="8"/>
    </row>
    <row r="69">
      <c r="A69" s="82"/>
      <c r="J69" s="8"/>
    </row>
    <row r="70">
      <c r="A70" s="82"/>
      <c r="J70" s="8"/>
    </row>
    <row r="71">
      <c r="A71" s="82"/>
      <c r="D71" s="23">
        <f>400000-341126</f>
        <v>58874</v>
      </c>
      <c r="J71" s="8"/>
    </row>
    <row r="72">
      <c r="A72" s="82"/>
      <c r="J72" s="8"/>
    </row>
    <row r="73">
      <c r="A73" s="82"/>
      <c r="J73" s="8"/>
    </row>
    <row r="74">
      <c r="A74" s="82"/>
      <c r="J74" s="8"/>
    </row>
    <row r="75">
      <c r="A75" s="82"/>
      <c r="J75" s="8"/>
    </row>
    <row r="76">
      <c r="A76" s="82"/>
      <c r="J76" s="8"/>
    </row>
    <row r="77">
      <c r="A77" s="82"/>
      <c r="J77" s="8"/>
    </row>
    <row r="78">
      <c r="A78" s="82"/>
      <c r="J78" s="8"/>
    </row>
    <row r="79">
      <c r="A79" s="82"/>
      <c r="J79" s="8"/>
    </row>
    <row r="80">
      <c r="A80" s="82"/>
      <c r="J80" s="8"/>
    </row>
    <row r="81">
      <c r="A81" s="82"/>
      <c r="J81" s="8"/>
    </row>
    <row r="82">
      <c r="A82" s="82"/>
      <c r="J82" s="8"/>
    </row>
    <row r="83">
      <c r="A83" s="82"/>
      <c r="J83" s="8"/>
    </row>
    <row r="84">
      <c r="A84" s="82"/>
      <c r="J84" s="8"/>
    </row>
    <row r="85">
      <c r="A85" s="82"/>
      <c r="J85" s="8"/>
    </row>
    <row r="86">
      <c r="A86" s="82"/>
      <c r="J86" s="8"/>
    </row>
    <row r="87">
      <c r="A87" s="82"/>
      <c r="J87" s="8"/>
    </row>
    <row r="88">
      <c r="A88" s="82"/>
      <c r="J88" s="8"/>
    </row>
    <row r="89">
      <c r="A89" s="82"/>
      <c r="J89" s="8"/>
    </row>
    <row r="90">
      <c r="A90" s="82"/>
      <c r="J90" s="8"/>
    </row>
    <row r="91">
      <c r="A91" s="82"/>
      <c r="J91" s="8"/>
    </row>
    <row r="92">
      <c r="A92" s="82"/>
      <c r="J92" s="8"/>
    </row>
    <row r="93">
      <c r="A93" s="82"/>
      <c r="J93" s="8"/>
    </row>
    <row r="94">
      <c r="A94" s="82"/>
      <c r="J94" s="8"/>
    </row>
    <row r="95">
      <c r="A95" s="82"/>
      <c r="J95" s="8"/>
    </row>
    <row r="96">
      <c r="A96" s="82"/>
      <c r="J96" s="8"/>
    </row>
    <row r="97">
      <c r="A97" s="82"/>
      <c r="J97" s="8"/>
    </row>
    <row r="98">
      <c r="A98" s="82"/>
      <c r="J98" s="8"/>
    </row>
    <row r="99">
      <c r="A99" s="82"/>
      <c r="J99" s="8"/>
    </row>
    <row r="100">
      <c r="A100" s="82"/>
      <c r="J100" s="8"/>
    </row>
    <row r="101">
      <c r="A101" s="82"/>
      <c r="J101" s="8"/>
    </row>
    <row r="102">
      <c r="A102" s="82"/>
      <c r="J102" s="8"/>
    </row>
    <row r="103">
      <c r="A103" s="82"/>
      <c r="J103" s="8"/>
    </row>
    <row r="104">
      <c r="A104" s="82"/>
      <c r="J104" s="8"/>
    </row>
    <row r="105">
      <c r="A105" s="82"/>
      <c r="J105" s="8"/>
    </row>
    <row r="106">
      <c r="A106" s="82"/>
      <c r="J106" s="8"/>
    </row>
    <row r="107">
      <c r="A107" s="82"/>
      <c r="J107" s="8"/>
    </row>
    <row r="108">
      <c r="A108" s="82"/>
      <c r="J108" s="8"/>
    </row>
    <row r="109">
      <c r="A109" s="82"/>
      <c r="J109" s="8"/>
    </row>
    <row r="110">
      <c r="A110" s="82"/>
      <c r="J110" s="8"/>
    </row>
    <row r="111">
      <c r="A111" s="82"/>
      <c r="J111" s="8"/>
    </row>
    <row r="112">
      <c r="A112" s="82"/>
      <c r="J112" s="8"/>
    </row>
    <row r="113">
      <c r="A113" s="82"/>
      <c r="J113" s="8"/>
    </row>
    <row r="114">
      <c r="A114" s="82"/>
      <c r="J114" s="8"/>
    </row>
    <row r="115">
      <c r="A115" s="82"/>
      <c r="J115" s="8"/>
    </row>
    <row r="116">
      <c r="A116" s="82"/>
      <c r="J116" s="8"/>
    </row>
    <row r="117">
      <c r="A117" s="82"/>
      <c r="J117" s="8"/>
    </row>
    <row r="118">
      <c r="A118" s="82"/>
      <c r="J118" s="8"/>
    </row>
    <row r="119">
      <c r="A119" s="82"/>
      <c r="J119" s="8"/>
    </row>
    <row r="120">
      <c r="A120" s="82"/>
      <c r="J120" s="8"/>
    </row>
    <row r="121">
      <c r="A121" s="82"/>
      <c r="J121" s="8"/>
    </row>
    <row r="122">
      <c r="A122" s="82"/>
      <c r="J122" s="8"/>
    </row>
    <row r="123">
      <c r="A123" s="82"/>
      <c r="J123" s="8"/>
    </row>
    <row r="124">
      <c r="A124" s="82"/>
      <c r="J124" s="8"/>
    </row>
    <row r="125">
      <c r="A125" s="82"/>
      <c r="J125" s="8"/>
    </row>
    <row r="126">
      <c r="A126" s="82"/>
      <c r="J126" s="8"/>
    </row>
    <row r="127">
      <c r="A127" s="82"/>
      <c r="J127" s="8"/>
    </row>
    <row r="128">
      <c r="A128" s="82"/>
      <c r="J128" s="8"/>
    </row>
    <row r="129">
      <c r="A129" s="82"/>
      <c r="J129" s="8"/>
    </row>
    <row r="130">
      <c r="A130" s="82"/>
      <c r="J130" s="8"/>
    </row>
    <row r="131">
      <c r="A131" s="82"/>
      <c r="J131" s="8"/>
    </row>
    <row r="132">
      <c r="A132" s="82"/>
      <c r="J132" s="8"/>
    </row>
    <row r="133">
      <c r="A133" s="82"/>
      <c r="J133" s="8"/>
    </row>
    <row r="134">
      <c r="A134" s="82"/>
      <c r="J134" s="8"/>
    </row>
    <row r="135">
      <c r="A135" s="82"/>
      <c r="J135" s="8"/>
    </row>
    <row r="136">
      <c r="A136" s="82"/>
      <c r="J136" s="8"/>
    </row>
    <row r="137">
      <c r="A137" s="82"/>
      <c r="J137" s="8"/>
    </row>
    <row r="138">
      <c r="A138" s="82"/>
      <c r="J138" s="8"/>
    </row>
    <row r="139">
      <c r="A139" s="82"/>
      <c r="J139" s="8"/>
    </row>
    <row r="140">
      <c r="A140" s="82"/>
      <c r="J140" s="8"/>
    </row>
    <row r="141">
      <c r="A141" s="82"/>
      <c r="J141" s="8"/>
    </row>
    <row r="142">
      <c r="A142" s="82"/>
      <c r="J142" s="8"/>
    </row>
    <row r="143">
      <c r="A143" s="82"/>
      <c r="J143" s="8"/>
    </row>
    <row r="144">
      <c r="A144" s="82"/>
      <c r="J144" s="8"/>
    </row>
    <row r="145">
      <c r="A145" s="82"/>
      <c r="J145" s="8"/>
    </row>
    <row r="146">
      <c r="A146" s="82"/>
      <c r="J146" s="8"/>
    </row>
    <row r="147">
      <c r="A147" s="82"/>
      <c r="J147" s="8"/>
    </row>
    <row r="148">
      <c r="A148" s="82"/>
      <c r="J148" s="8"/>
    </row>
    <row r="149">
      <c r="A149" s="82"/>
      <c r="J149" s="8"/>
    </row>
    <row r="150">
      <c r="A150" s="82"/>
      <c r="J150" s="8"/>
    </row>
    <row r="151">
      <c r="A151" s="82"/>
      <c r="J151" s="8"/>
    </row>
    <row r="152">
      <c r="A152" s="82"/>
      <c r="J152" s="8"/>
    </row>
    <row r="153">
      <c r="A153" s="82"/>
      <c r="J153" s="8"/>
    </row>
    <row r="154">
      <c r="A154" s="82"/>
      <c r="J154" s="8"/>
    </row>
    <row r="155">
      <c r="A155" s="82"/>
      <c r="J155" s="8"/>
    </row>
    <row r="156">
      <c r="A156" s="82"/>
      <c r="J156" s="8"/>
    </row>
    <row r="157">
      <c r="A157" s="82"/>
      <c r="J157" s="8"/>
    </row>
    <row r="158">
      <c r="A158" s="82"/>
      <c r="J158" s="8"/>
    </row>
    <row r="159">
      <c r="A159" s="82"/>
      <c r="J159" s="8"/>
    </row>
    <row r="160">
      <c r="A160" s="82"/>
      <c r="J160" s="8"/>
    </row>
    <row r="161">
      <c r="A161" s="82"/>
      <c r="J161" s="8"/>
    </row>
    <row r="162">
      <c r="A162" s="82"/>
      <c r="J162" s="8"/>
    </row>
    <row r="163">
      <c r="A163" s="82"/>
      <c r="J163" s="8"/>
    </row>
    <row r="164">
      <c r="A164" s="82"/>
      <c r="J164" s="8"/>
    </row>
    <row r="165">
      <c r="A165" s="82"/>
      <c r="J165" s="8"/>
    </row>
    <row r="166">
      <c r="A166" s="82"/>
      <c r="J166" s="8"/>
    </row>
    <row r="167">
      <c r="A167" s="82"/>
      <c r="J167" s="8"/>
    </row>
    <row r="168">
      <c r="A168" s="82"/>
      <c r="J168" s="8"/>
    </row>
    <row r="169">
      <c r="A169" s="82"/>
      <c r="J169" s="8"/>
    </row>
    <row r="170">
      <c r="A170" s="82"/>
      <c r="J170" s="8"/>
    </row>
    <row r="171">
      <c r="A171" s="82"/>
      <c r="J171" s="8"/>
    </row>
    <row r="172">
      <c r="A172" s="82"/>
      <c r="J172" s="8"/>
    </row>
    <row r="173">
      <c r="A173" s="82"/>
      <c r="J173" s="8"/>
    </row>
    <row r="174">
      <c r="A174" s="82"/>
      <c r="J174" s="8"/>
    </row>
    <row r="175">
      <c r="A175" s="82"/>
      <c r="J175" s="8"/>
    </row>
    <row r="176">
      <c r="A176" s="82"/>
      <c r="J176" s="8"/>
    </row>
    <row r="177">
      <c r="A177" s="82"/>
      <c r="J177" s="8"/>
    </row>
    <row r="178">
      <c r="A178" s="82"/>
      <c r="J178" s="8"/>
    </row>
    <row r="179">
      <c r="A179" s="82"/>
      <c r="J179" s="8"/>
    </row>
    <row r="180">
      <c r="A180" s="82"/>
      <c r="J180" s="8"/>
    </row>
    <row r="181">
      <c r="A181" s="82"/>
      <c r="J181" s="8"/>
    </row>
    <row r="182">
      <c r="A182" s="82"/>
      <c r="J182" s="8"/>
    </row>
    <row r="183">
      <c r="A183" s="82"/>
      <c r="J183" s="8"/>
    </row>
    <row r="184">
      <c r="A184" s="82"/>
      <c r="J184" s="8"/>
    </row>
    <row r="185">
      <c r="A185" s="82"/>
      <c r="J185" s="8"/>
    </row>
    <row r="186">
      <c r="A186" s="82"/>
      <c r="J186" s="8"/>
    </row>
    <row r="187">
      <c r="A187" s="82"/>
      <c r="J187" s="8"/>
    </row>
    <row r="188">
      <c r="A188" s="82"/>
      <c r="J188" s="8"/>
    </row>
    <row r="189">
      <c r="A189" s="82"/>
      <c r="J189" s="8"/>
    </row>
    <row r="190">
      <c r="A190" s="82"/>
      <c r="J190" s="8"/>
    </row>
    <row r="191">
      <c r="A191" s="82"/>
      <c r="J191" s="8"/>
    </row>
    <row r="192">
      <c r="A192" s="82"/>
      <c r="J192" s="8"/>
    </row>
    <row r="193">
      <c r="A193" s="82"/>
      <c r="J193" s="8"/>
    </row>
    <row r="194">
      <c r="A194" s="82"/>
      <c r="J194" s="8"/>
    </row>
    <row r="195">
      <c r="A195" s="82"/>
      <c r="J195" s="8"/>
    </row>
    <row r="196">
      <c r="A196" s="82"/>
      <c r="J196" s="8"/>
    </row>
    <row r="197">
      <c r="A197" s="82"/>
      <c r="J197" s="8"/>
    </row>
    <row r="198">
      <c r="A198" s="82"/>
      <c r="J198" s="8"/>
    </row>
    <row r="199">
      <c r="A199" s="82"/>
      <c r="J199" s="8"/>
    </row>
    <row r="200">
      <c r="A200" s="82"/>
      <c r="J200" s="8"/>
    </row>
    <row r="201">
      <c r="A201" s="82"/>
      <c r="J201" s="8"/>
    </row>
    <row r="202">
      <c r="A202" s="82"/>
      <c r="J202" s="8"/>
    </row>
    <row r="203">
      <c r="A203" s="82"/>
      <c r="J203" s="8"/>
    </row>
    <row r="204">
      <c r="A204" s="82"/>
      <c r="J204" s="8"/>
    </row>
    <row r="205">
      <c r="A205" s="82"/>
      <c r="J205" s="8"/>
    </row>
    <row r="206">
      <c r="A206" s="82"/>
      <c r="J206" s="8"/>
    </row>
    <row r="207">
      <c r="A207" s="82"/>
      <c r="J207" s="8"/>
    </row>
    <row r="208">
      <c r="A208" s="82"/>
      <c r="J208" s="8"/>
    </row>
    <row r="209">
      <c r="A209" s="82"/>
      <c r="J209" s="8"/>
    </row>
    <row r="210">
      <c r="A210" s="82"/>
      <c r="J210" s="8"/>
    </row>
    <row r="211">
      <c r="A211" s="82"/>
      <c r="J211" s="8"/>
    </row>
    <row r="212">
      <c r="A212" s="82"/>
      <c r="J212" s="8"/>
    </row>
    <row r="213">
      <c r="A213" s="82"/>
      <c r="J213" s="8"/>
    </row>
    <row r="214">
      <c r="A214" s="82"/>
      <c r="J214" s="8"/>
    </row>
    <row r="215">
      <c r="A215" s="82"/>
      <c r="J215" s="8"/>
    </row>
    <row r="216">
      <c r="A216" s="82"/>
      <c r="J216" s="8"/>
    </row>
    <row r="217">
      <c r="A217" s="82"/>
      <c r="J217" s="8"/>
    </row>
    <row r="218">
      <c r="A218" s="82"/>
      <c r="J218" s="8"/>
    </row>
    <row r="219">
      <c r="A219" s="82"/>
      <c r="J219" s="8"/>
    </row>
    <row r="220">
      <c r="A220" s="82"/>
      <c r="J220" s="8"/>
    </row>
    <row r="221">
      <c r="A221" s="82"/>
      <c r="J221" s="8"/>
    </row>
    <row r="222">
      <c r="A222" s="82"/>
      <c r="J222" s="8"/>
    </row>
    <row r="223">
      <c r="A223" s="82"/>
      <c r="J223" s="8"/>
    </row>
    <row r="224">
      <c r="A224" s="82"/>
      <c r="J224" s="8"/>
    </row>
    <row r="225">
      <c r="A225" s="82"/>
      <c r="J225" s="8"/>
    </row>
    <row r="226">
      <c r="A226" s="82"/>
      <c r="J226" s="8"/>
    </row>
    <row r="227">
      <c r="A227" s="82"/>
      <c r="J227" s="8"/>
    </row>
    <row r="228">
      <c r="A228" s="82"/>
      <c r="J228" s="8"/>
    </row>
    <row r="229">
      <c r="A229" s="82"/>
      <c r="J229" s="8"/>
    </row>
    <row r="230">
      <c r="A230" s="82"/>
      <c r="J230" s="8"/>
    </row>
    <row r="231">
      <c r="A231" s="82"/>
      <c r="J231" s="8"/>
    </row>
    <row r="232">
      <c r="A232" s="82"/>
      <c r="J232" s="8"/>
    </row>
    <row r="233">
      <c r="A233" s="82"/>
      <c r="J233" s="8"/>
    </row>
    <row r="234">
      <c r="A234" s="82"/>
      <c r="J234" s="8"/>
    </row>
    <row r="235">
      <c r="A235" s="82"/>
      <c r="J235" s="8"/>
    </row>
    <row r="236">
      <c r="A236" s="82"/>
      <c r="J236" s="8"/>
    </row>
    <row r="237">
      <c r="A237" s="82"/>
      <c r="J237" s="8"/>
    </row>
    <row r="238">
      <c r="A238" s="82"/>
      <c r="J238" s="8"/>
    </row>
    <row r="239">
      <c r="A239" s="82"/>
      <c r="J239" s="8"/>
    </row>
    <row r="240">
      <c r="A240" s="82"/>
      <c r="J240" s="8"/>
    </row>
    <row r="241">
      <c r="A241" s="82"/>
      <c r="J241" s="8"/>
    </row>
    <row r="242">
      <c r="A242" s="82"/>
      <c r="J242" s="8"/>
    </row>
    <row r="243">
      <c r="A243" s="82"/>
      <c r="J243" s="8"/>
    </row>
    <row r="244">
      <c r="A244" s="82"/>
      <c r="J244" s="8"/>
    </row>
    <row r="245">
      <c r="A245" s="82"/>
      <c r="J245" s="8"/>
    </row>
    <row r="246">
      <c r="A246" s="82"/>
      <c r="J246" s="8"/>
    </row>
    <row r="247">
      <c r="A247" s="82"/>
      <c r="J247" s="8"/>
    </row>
    <row r="248">
      <c r="A248" s="82"/>
      <c r="J248" s="8"/>
    </row>
    <row r="249">
      <c r="A249" s="82"/>
      <c r="J249" s="8"/>
    </row>
    <row r="250">
      <c r="A250" s="82"/>
      <c r="J250" s="8"/>
    </row>
    <row r="251">
      <c r="A251" s="82"/>
      <c r="J251" s="8"/>
    </row>
    <row r="252">
      <c r="A252" s="82"/>
      <c r="J252" s="8"/>
    </row>
    <row r="253">
      <c r="A253" s="82"/>
      <c r="J253" s="8"/>
    </row>
    <row r="254">
      <c r="A254" s="82"/>
      <c r="J254" s="8"/>
    </row>
    <row r="255">
      <c r="A255" s="82"/>
      <c r="J255" s="8"/>
    </row>
    <row r="256">
      <c r="A256" s="82"/>
      <c r="J256" s="8"/>
    </row>
    <row r="257">
      <c r="A257" s="82"/>
      <c r="J257" s="8"/>
    </row>
    <row r="258">
      <c r="A258" s="82"/>
      <c r="J258" s="8"/>
    </row>
    <row r="259">
      <c r="A259" s="82"/>
      <c r="J259" s="8"/>
    </row>
    <row r="260">
      <c r="A260" s="82"/>
      <c r="J260" s="8"/>
    </row>
    <row r="261">
      <c r="A261" s="82"/>
      <c r="J261" s="8"/>
    </row>
    <row r="262">
      <c r="A262" s="82"/>
      <c r="J262" s="8"/>
    </row>
    <row r="263">
      <c r="A263" s="82"/>
      <c r="J263" s="8"/>
    </row>
    <row r="264">
      <c r="A264" s="82"/>
      <c r="J264" s="8"/>
    </row>
    <row r="265">
      <c r="A265" s="82"/>
      <c r="J265" s="8"/>
    </row>
    <row r="266">
      <c r="A266" s="82"/>
      <c r="J266" s="8"/>
    </row>
    <row r="267">
      <c r="A267" s="82"/>
      <c r="J267" s="8"/>
    </row>
    <row r="268">
      <c r="A268" s="82"/>
      <c r="J268" s="8"/>
    </row>
    <row r="269">
      <c r="A269" s="82"/>
      <c r="J269" s="8"/>
    </row>
    <row r="270">
      <c r="A270" s="82"/>
      <c r="J270" s="8"/>
    </row>
    <row r="271">
      <c r="A271" s="82"/>
      <c r="J271" s="8"/>
    </row>
    <row r="272">
      <c r="A272" s="82"/>
      <c r="J272" s="8"/>
    </row>
    <row r="273">
      <c r="A273" s="82"/>
      <c r="J273" s="8"/>
    </row>
    <row r="274">
      <c r="A274" s="82"/>
      <c r="J274" s="8"/>
    </row>
    <row r="275">
      <c r="A275" s="82"/>
      <c r="J275" s="8"/>
    </row>
    <row r="276">
      <c r="A276" s="82"/>
      <c r="J276" s="8"/>
    </row>
    <row r="277">
      <c r="A277" s="82"/>
      <c r="J277" s="8"/>
    </row>
    <row r="278">
      <c r="A278" s="82"/>
      <c r="J278" s="8"/>
    </row>
    <row r="279">
      <c r="A279" s="82"/>
      <c r="J279" s="8"/>
    </row>
    <row r="280">
      <c r="A280" s="82"/>
      <c r="J280" s="8"/>
    </row>
    <row r="281">
      <c r="A281" s="82"/>
      <c r="J281" s="8"/>
    </row>
    <row r="282">
      <c r="A282" s="82"/>
      <c r="J282" s="8"/>
    </row>
    <row r="283">
      <c r="A283" s="82"/>
      <c r="J283" s="8"/>
    </row>
    <row r="284">
      <c r="A284" s="82"/>
      <c r="J284" s="8"/>
    </row>
    <row r="285">
      <c r="A285" s="82"/>
      <c r="J285" s="8"/>
    </row>
    <row r="286">
      <c r="A286" s="82"/>
      <c r="J286" s="8"/>
    </row>
    <row r="287">
      <c r="A287" s="82"/>
      <c r="J287" s="8"/>
    </row>
    <row r="288">
      <c r="A288" s="82"/>
      <c r="J288" s="8"/>
    </row>
    <row r="289">
      <c r="A289" s="82"/>
      <c r="J289" s="8"/>
    </row>
    <row r="290">
      <c r="A290" s="82"/>
      <c r="J290" s="8"/>
    </row>
    <row r="291">
      <c r="A291" s="82"/>
      <c r="J291" s="8"/>
    </row>
    <row r="292">
      <c r="A292" s="82"/>
      <c r="J292" s="8"/>
    </row>
    <row r="293">
      <c r="A293" s="82"/>
      <c r="J293" s="8"/>
    </row>
    <row r="294">
      <c r="A294" s="82"/>
      <c r="J294" s="8"/>
    </row>
    <row r="295">
      <c r="A295" s="82"/>
      <c r="J295" s="8"/>
    </row>
    <row r="296">
      <c r="A296" s="82"/>
      <c r="J296" s="8"/>
    </row>
    <row r="297">
      <c r="A297" s="82"/>
      <c r="J297" s="8"/>
    </row>
    <row r="298">
      <c r="A298" s="82"/>
      <c r="J298" s="8"/>
    </row>
    <row r="299">
      <c r="A299" s="82"/>
      <c r="J299" s="8"/>
    </row>
    <row r="300">
      <c r="A300" s="82"/>
      <c r="J300" s="8"/>
    </row>
    <row r="301">
      <c r="A301" s="82"/>
      <c r="J301" s="8"/>
    </row>
    <row r="302">
      <c r="A302" s="82"/>
      <c r="J302" s="8"/>
    </row>
    <row r="303">
      <c r="A303" s="82"/>
      <c r="J303" s="8"/>
    </row>
    <row r="304">
      <c r="A304" s="82"/>
      <c r="J304" s="8"/>
    </row>
    <row r="305">
      <c r="A305" s="82"/>
      <c r="J305" s="8"/>
    </row>
    <row r="306">
      <c r="A306" s="82"/>
      <c r="J306" s="8"/>
    </row>
    <row r="307">
      <c r="A307" s="82"/>
      <c r="J307" s="8"/>
    </row>
    <row r="308">
      <c r="A308" s="82"/>
      <c r="J308" s="8"/>
    </row>
    <row r="309">
      <c r="A309" s="82"/>
      <c r="J309" s="8"/>
    </row>
    <row r="310">
      <c r="A310" s="82"/>
      <c r="J310" s="8"/>
    </row>
    <row r="311">
      <c r="A311" s="82"/>
      <c r="J311" s="8"/>
    </row>
    <row r="312">
      <c r="A312" s="82"/>
      <c r="J312" s="8"/>
    </row>
    <row r="313">
      <c r="A313" s="82"/>
      <c r="J313" s="8"/>
    </row>
    <row r="314">
      <c r="A314" s="82"/>
      <c r="J314" s="8"/>
    </row>
    <row r="315">
      <c r="A315" s="82"/>
      <c r="J315" s="8"/>
    </row>
    <row r="316">
      <c r="A316" s="82"/>
      <c r="J316" s="8"/>
    </row>
    <row r="317">
      <c r="A317" s="82"/>
      <c r="J317" s="8"/>
    </row>
    <row r="318">
      <c r="A318" s="82"/>
      <c r="J318" s="8"/>
    </row>
    <row r="319">
      <c r="A319" s="82"/>
      <c r="J319" s="8"/>
    </row>
    <row r="320">
      <c r="A320" s="82"/>
      <c r="J320" s="8"/>
    </row>
    <row r="321">
      <c r="A321" s="82"/>
      <c r="J321" s="8"/>
    </row>
    <row r="322">
      <c r="A322" s="82"/>
      <c r="J322" s="8"/>
    </row>
    <row r="323">
      <c r="A323" s="82"/>
      <c r="J323" s="8"/>
    </row>
    <row r="324">
      <c r="A324" s="82"/>
      <c r="J324" s="8"/>
    </row>
    <row r="325">
      <c r="A325" s="82"/>
      <c r="J325" s="8"/>
    </row>
    <row r="326">
      <c r="A326" s="82"/>
      <c r="J326" s="8"/>
    </row>
    <row r="327">
      <c r="A327" s="82"/>
      <c r="J327" s="8"/>
    </row>
    <row r="328">
      <c r="A328" s="82"/>
      <c r="J328" s="8"/>
    </row>
    <row r="329">
      <c r="A329" s="82"/>
      <c r="J329" s="8"/>
    </row>
    <row r="330">
      <c r="A330" s="82"/>
      <c r="J330" s="8"/>
    </row>
    <row r="331">
      <c r="A331" s="82"/>
      <c r="J331" s="8"/>
    </row>
    <row r="332">
      <c r="A332" s="82"/>
      <c r="J332" s="8"/>
    </row>
    <row r="333">
      <c r="A333" s="82"/>
      <c r="J333" s="8"/>
    </row>
    <row r="334">
      <c r="A334" s="82"/>
      <c r="J334" s="8"/>
    </row>
    <row r="335">
      <c r="A335" s="82"/>
      <c r="J335" s="8"/>
    </row>
    <row r="336">
      <c r="A336" s="82"/>
      <c r="J336" s="8"/>
    </row>
    <row r="337">
      <c r="A337" s="82"/>
      <c r="J337" s="8"/>
    </row>
    <row r="338">
      <c r="A338" s="82"/>
      <c r="J338" s="8"/>
    </row>
    <row r="339">
      <c r="A339" s="82"/>
      <c r="J339" s="8"/>
    </row>
    <row r="340">
      <c r="A340" s="82"/>
      <c r="J340" s="8"/>
    </row>
    <row r="341">
      <c r="A341" s="82"/>
      <c r="J341" s="8"/>
    </row>
    <row r="342">
      <c r="A342" s="82"/>
      <c r="J342" s="8"/>
    </row>
    <row r="343">
      <c r="A343" s="82"/>
      <c r="J343" s="8"/>
    </row>
    <row r="344">
      <c r="A344" s="82"/>
      <c r="J344" s="8"/>
    </row>
    <row r="345">
      <c r="A345" s="82"/>
      <c r="J345" s="8"/>
    </row>
    <row r="346">
      <c r="A346" s="82"/>
      <c r="J346" s="8"/>
    </row>
    <row r="347">
      <c r="A347" s="82"/>
      <c r="J347" s="8"/>
    </row>
    <row r="348">
      <c r="A348" s="82"/>
      <c r="J348" s="8"/>
    </row>
    <row r="349">
      <c r="A349" s="82"/>
      <c r="J349" s="8"/>
    </row>
    <row r="350">
      <c r="A350" s="82"/>
      <c r="J350" s="8"/>
    </row>
    <row r="351">
      <c r="A351" s="82"/>
      <c r="J351" s="8"/>
    </row>
    <row r="352">
      <c r="A352" s="82"/>
      <c r="J352" s="8"/>
    </row>
    <row r="353">
      <c r="A353" s="82"/>
      <c r="J353" s="8"/>
    </row>
    <row r="354">
      <c r="A354" s="82"/>
      <c r="J354" s="8"/>
    </row>
    <row r="355">
      <c r="A355" s="82"/>
      <c r="J355" s="8"/>
    </row>
    <row r="356">
      <c r="A356" s="82"/>
      <c r="J356" s="8"/>
    </row>
    <row r="357">
      <c r="A357" s="82"/>
      <c r="J357" s="8"/>
    </row>
    <row r="358">
      <c r="A358" s="82"/>
      <c r="J358" s="8"/>
    </row>
    <row r="359">
      <c r="A359" s="82"/>
      <c r="J359" s="8"/>
    </row>
    <row r="360">
      <c r="A360" s="82"/>
      <c r="J360" s="8"/>
    </row>
    <row r="361">
      <c r="A361" s="82"/>
      <c r="J361" s="8"/>
    </row>
    <row r="362">
      <c r="A362" s="82"/>
      <c r="J362" s="8"/>
    </row>
    <row r="363">
      <c r="A363" s="82"/>
      <c r="J363" s="8"/>
    </row>
    <row r="364">
      <c r="A364" s="82"/>
      <c r="J364" s="8"/>
    </row>
    <row r="365">
      <c r="A365" s="82"/>
      <c r="J365" s="8"/>
    </row>
    <row r="366">
      <c r="A366" s="82"/>
      <c r="J366" s="8"/>
    </row>
    <row r="367">
      <c r="A367" s="82"/>
      <c r="J367" s="8"/>
    </row>
    <row r="368">
      <c r="A368" s="82"/>
      <c r="J368" s="8"/>
    </row>
    <row r="369">
      <c r="A369" s="82"/>
      <c r="J369" s="8"/>
    </row>
    <row r="370">
      <c r="A370" s="82"/>
      <c r="J370" s="8"/>
    </row>
    <row r="371">
      <c r="A371" s="82"/>
      <c r="J371" s="8"/>
    </row>
    <row r="372">
      <c r="A372" s="82"/>
      <c r="J372" s="8"/>
    </row>
    <row r="373">
      <c r="A373" s="82"/>
      <c r="J373" s="8"/>
    </row>
    <row r="374">
      <c r="A374" s="82"/>
      <c r="J374" s="8"/>
    </row>
    <row r="375">
      <c r="A375" s="82"/>
      <c r="J375" s="8"/>
    </row>
    <row r="376">
      <c r="A376" s="82"/>
      <c r="J376" s="8"/>
    </row>
    <row r="377">
      <c r="A377" s="82"/>
      <c r="J377" s="8"/>
    </row>
    <row r="378">
      <c r="A378" s="82"/>
      <c r="J378" s="8"/>
    </row>
    <row r="379">
      <c r="A379" s="82"/>
      <c r="J379" s="8"/>
    </row>
    <row r="380">
      <c r="A380" s="82"/>
      <c r="J380" s="8"/>
    </row>
    <row r="381">
      <c r="A381" s="82"/>
      <c r="J381" s="8"/>
    </row>
    <row r="382">
      <c r="A382" s="82"/>
      <c r="J382" s="8"/>
    </row>
    <row r="383">
      <c r="A383" s="82"/>
      <c r="J383" s="8"/>
    </row>
    <row r="384">
      <c r="A384" s="82"/>
      <c r="J384" s="8"/>
    </row>
    <row r="385">
      <c r="A385" s="82"/>
      <c r="J385" s="8"/>
    </row>
    <row r="386">
      <c r="A386" s="82"/>
      <c r="J386" s="8"/>
    </row>
    <row r="387">
      <c r="A387" s="82"/>
      <c r="J387" s="8"/>
    </row>
    <row r="388">
      <c r="A388" s="82"/>
      <c r="J388" s="8"/>
    </row>
    <row r="389">
      <c r="A389" s="82"/>
      <c r="J389" s="8"/>
    </row>
    <row r="390">
      <c r="A390" s="82"/>
      <c r="J390" s="8"/>
    </row>
    <row r="391">
      <c r="A391" s="82"/>
      <c r="J391" s="8"/>
    </row>
    <row r="392">
      <c r="A392" s="82"/>
      <c r="J392" s="8"/>
    </row>
    <row r="393">
      <c r="A393" s="82"/>
      <c r="J393" s="8"/>
    </row>
    <row r="394">
      <c r="A394" s="82"/>
      <c r="J394" s="8"/>
    </row>
    <row r="395">
      <c r="A395" s="82"/>
      <c r="J395" s="8"/>
    </row>
    <row r="396">
      <c r="A396" s="82"/>
      <c r="J396" s="8"/>
    </row>
    <row r="397">
      <c r="A397" s="82"/>
      <c r="J397" s="8"/>
    </row>
    <row r="398">
      <c r="A398" s="82"/>
      <c r="J398" s="8"/>
    </row>
    <row r="399">
      <c r="A399" s="82"/>
      <c r="J399" s="8"/>
    </row>
    <row r="400">
      <c r="A400" s="82"/>
      <c r="J400" s="8"/>
    </row>
    <row r="401">
      <c r="A401" s="82"/>
      <c r="J401" s="8"/>
    </row>
    <row r="402">
      <c r="A402" s="82"/>
      <c r="J402" s="8"/>
    </row>
    <row r="403">
      <c r="A403" s="82"/>
      <c r="J403" s="8"/>
    </row>
    <row r="404">
      <c r="A404" s="82"/>
      <c r="J404" s="8"/>
    </row>
    <row r="405">
      <c r="A405" s="82"/>
      <c r="J405" s="8"/>
    </row>
    <row r="406">
      <c r="A406" s="82"/>
      <c r="J406" s="8"/>
    </row>
    <row r="407">
      <c r="A407" s="82"/>
      <c r="J407" s="8"/>
    </row>
    <row r="408">
      <c r="A408" s="82"/>
      <c r="J408" s="8"/>
    </row>
    <row r="409">
      <c r="A409" s="82"/>
      <c r="J409" s="8"/>
    </row>
    <row r="410">
      <c r="A410" s="82"/>
      <c r="J410" s="8"/>
    </row>
    <row r="411">
      <c r="A411" s="82"/>
      <c r="J411" s="8"/>
    </row>
    <row r="412">
      <c r="A412" s="82"/>
      <c r="J412" s="8"/>
    </row>
    <row r="413">
      <c r="A413" s="82"/>
      <c r="J413" s="8"/>
    </row>
    <row r="414">
      <c r="A414" s="82"/>
      <c r="J414" s="8"/>
    </row>
    <row r="415">
      <c r="A415" s="82"/>
      <c r="J415" s="8"/>
    </row>
    <row r="416">
      <c r="A416" s="82"/>
      <c r="J416" s="8"/>
    </row>
    <row r="417">
      <c r="A417" s="82"/>
      <c r="J417" s="8"/>
    </row>
    <row r="418">
      <c r="A418" s="82"/>
      <c r="J418" s="8"/>
    </row>
    <row r="419">
      <c r="A419" s="82"/>
      <c r="J419" s="8"/>
    </row>
    <row r="420">
      <c r="A420" s="82"/>
      <c r="J420" s="8"/>
    </row>
    <row r="421">
      <c r="A421" s="82"/>
      <c r="J421" s="8"/>
    </row>
    <row r="422">
      <c r="A422" s="82"/>
      <c r="J422" s="8"/>
    </row>
    <row r="423">
      <c r="A423" s="82"/>
      <c r="J423" s="8"/>
    </row>
    <row r="424">
      <c r="A424" s="82"/>
      <c r="J424" s="8"/>
    </row>
    <row r="425">
      <c r="A425" s="82"/>
      <c r="J425" s="8"/>
    </row>
    <row r="426">
      <c r="A426" s="82"/>
      <c r="J426" s="8"/>
    </row>
    <row r="427">
      <c r="A427" s="82"/>
      <c r="J427" s="8"/>
    </row>
    <row r="428">
      <c r="A428" s="82"/>
      <c r="J428" s="8"/>
    </row>
    <row r="429">
      <c r="A429" s="82"/>
      <c r="J429" s="8"/>
    </row>
    <row r="430">
      <c r="A430" s="82"/>
      <c r="J430" s="8"/>
    </row>
    <row r="431">
      <c r="A431" s="82"/>
      <c r="J431" s="8"/>
    </row>
    <row r="432">
      <c r="A432" s="82"/>
      <c r="J432" s="8"/>
    </row>
    <row r="433">
      <c r="A433" s="82"/>
      <c r="J433" s="8"/>
    </row>
    <row r="434">
      <c r="A434" s="82"/>
      <c r="J434" s="8"/>
    </row>
    <row r="435">
      <c r="A435" s="82"/>
      <c r="J435" s="8"/>
    </row>
    <row r="436">
      <c r="A436" s="82"/>
      <c r="J436" s="8"/>
    </row>
    <row r="437">
      <c r="A437" s="82"/>
      <c r="J437" s="8"/>
    </row>
    <row r="438">
      <c r="A438" s="82"/>
      <c r="J438" s="8"/>
    </row>
    <row r="439">
      <c r="A439" s="82"/>
      <c r="J439" s="8"/>
    </row>
    <row r="440">
      <c r="A440" s="82"/>
      <c r="J440" s="8"/>
    </row>
    <row r="441">
      <c r="A441" s="82"/>
      <c r="J441" s="8"/>
    </row>
    <row r="442">
      <c r="A442" s="82"/>
      <c r="J442" s="8"/>
    </row>
    <row r="443">
      <c r="A443" s="82"/>
      <c r="J443" s="8"/>
    </row>
    <row r="444">
      <c r="A444" s="82"/>
      <c r="J444" s="8"/>
    </row>
    <row r="445">
      <c r="A445" s="82"/>
      <c r="J445" s="8"/>
    </row>
    <row r="446">
      <c r="A446" s="82"/>
      <c r="J446" s="8"/>
    </row>
    <row r="447">
      <c r="A447" s="82"/>
      <c r="J447" s="8"/>
    </row>
    <row r="448">
      <c r="A448" s="82"/>
      <c r="J448" s="8"/>
    </row>
    <row r="449">
      <c r="A449" s="82"/>
      <c r="J449" s="8"/>
    </row>
    <row r="450">
      <c r="A450" s="82"/>
      <c r="J450" s="8"/>
    </row>
    <row r="451">
      <c r="A451" s="82"/>
      <c r="J451" s="8"/>
    </row>
    <row r="452">
      <c r="A452" s="82"/>
      <c r="J452" s="8"/>
    </row>
    <row r="453">
      <c r="A453" s="82"/>
      <c r="J453" s="8"/>
    </row>
    <row r="454">
      <c r="A454" s="82"/>
      <c r="J454" s="8"/>
    </row>
    <row r="455">
      <c r="A455" s="82"/>
      <c r="J455" s="8"/>
    </row>
    <row r="456">
      <c r="A456" s="82"/>
      <c r="J456" s="8"/>
    </row>
    <row r="457">
      <c r="A457" s="82"/>
      <c r="J457" s="8"/>
    </row>
    <row r="458">
      <c r="A458" s="82"/>
      <c r="J458" s="8"/>
    </row>
    <row r="459">
      <c r="A459" s="82"/>
      <c r="J459" s="8"/>
    </row>
    <row r="460">
      <c r="A460" s="82"/>
      <c r="J460" s="8"/>
    </row>
    <row r="461">
      <c r="A461" s="82"/>
      <c r="J461" s="8"/>
    </row>
    <row r="462">
      <c r="A462" s="82"/>
      <c r="J462" s="8"/>
    </row>
    <row r="463">
      <c r="A463" s="82"/>
      <c r="J463" s="8"/>
    </row>
    <row r="464">
      <c r="A464" s="82"/>
      <c r="J464" s="8"/>
    </row>
    <row r="465">
      <c r="A465" s="82"/>
      <c r="J465" s="8"/>
    </row>
    <row r="466">
      <c r="A466" s="82"/>
      <c r="J466" s="8"/>
    </row>
    <row r="467">
      <c r="A467" s="82"/>
      <c r="J467" s="8"/>
    </row>
    <row r="468">
      <c r="A468" s="82"/>
      <c r="J468" s="8"/>
    </row>
    <row r="469">
      <c r="A469" s="82"/>
      <c r="J469" s="8"/>
    </row>
    <row r="470">
      <c r="A470" s="82"/>
      <c r="J470" s="8"/>
    </row>
    <row r="471">
      <c r="A471" s="82"/>
      <c r="J471" s="8"/>
    </row>
    <row r="472">
      <c r="A472" s="82"/>
      <c r="J472" s="8"/>
    </row>
    <row r="473">
      <c r="A473" s="82"/>
      <c r="J473" s="8"/>
    </row>
    <row r="474">
      <c r="A474" s="82"/>
      <c r="J474" s="8"/>
    </row>
    <row r="475">
      <c r="A475" s="82"/>
      <c r="J475" s="8"/>
    </row>
    <row r="476">
      <c r="A476" s="82"/>
      <c r="J476" s="8"/>
    </row>
    <row r="477">
      <c r="A477" s="82"/>
      <c r="J477" s="8"/>
    </row>
    <row r="478">
      <c r="A478" s="82"/>
      <c r="J478" s="8"/>
    </row>
    <row r="479">
      <c r="A479" s="82"/>
      <c r="J479" s="8"/>
    </row>
    <row r="480">
      <c r="A480" s="82"/>
      <c r="J480" s="8"/>
    </row>
    <row r="481">
      <c r="A481" s="82"/>
      <c r="J481" s="8"/>
    </row>
    <row r="482">
      <c r="A482" s="82"/>
      <c r="J482" s="8"/>
    </row>
    <row r="483">
      <c r="A483" s="82"/>
      <c r="J483" s="8"/>
    </row>
    <row r="484">
      <c r="A484" s="82"/>
      <c r="J484" s="8"/>
    </row>
    <row r="485">
      <c r="A485" s="82"/>
      <c r="J485" s="8"/>
    </row>
    <row r="486">
      <c r="A486" s="82"/>
      <c r="J486" s="8"/>
    </row>
    <row r="487">
      <c r="A487" s="82"/>
      <c r="J487" s="8"/>
    </row>
    <row r="488">
      <c r="A488" s="82"/>
      <c r="J488" s="8"/>
    </row>
    <row r="489">
      <c r="A489" s="82"/>
      <c r="J489" s="8"/>
    </row>
    <row r="490">
      <c r="A490" s="82"/>
      <c r="J490" s="8"/>
    </row>
    <row r="491">
      <c r="A491" s="82"/>
      <c r="J491" s="8"/>
    </row>
    <row r="492">
      <c r="A492" s="82"/>
      <c r="J492" s="8"/>
    </row>
    <row r="493">
      <c r="A493" s="82"/>
      <c r="J493" s="8"/>
    </row>
    <row r="494">
      <c r="A494" s="82"/>
      <c r="J494" s="8"/>
    </row>
    <row r="495">
      <c r="A495" s="82"/>
      <c r="J495" s="8"/>
    </row>
    <row r="496">
      <c r="A496" s="82"/>
      <c r="J496" s="8"/>
    </row>
    <row r="497">
      <c r="A497" s="82"/>
      <c r="J497" s="8"/>
    </row>
    <row r="498">
      <c r="A498" s="82"/>
      <c r="J498" s="8"/>
    </row>
    <row r="499">
      <c r="A499" s="82"/>
      <c r="J499" s="8"/>
    </row>
    <row r="500">
      <c r="A500" s="82"/>
      <c r="J500" s="8"/>
    </row>
    <row r="501">
      <c r="A501" s="82"/>
      <c r="J501" s="8"/>
    </row>
    <row r="502">
      <c r="A502" s="82"/>
      <c r="J502" s="8"/>
    </row>
    <row r="503">
      <c r="A503" s="82"/>
      <c r="J503" s="8"/>
    </row>
    <row r="504">
      <c r="A504" s="82"/>
      <c r="J504" s="8"/>
    </row>
    <row r="505">
      <c r="A505" s="82"/>
      <c r="J505" s="8"/>
    </row>
    <row r="506">
      <c r="A506" s="82"/>
      <c r="J506" s="8"/>
    </row>
    <row r="507">
      <c r="A507" s="82"/>
      <c r="J507" s="8"/>
    </row>
    <row r="508">
      <c r="A508" s="82"/>
      <c r="J508" s="8"/>
    </row>
    <row r="509">
      <c r="A509" s="82"/>
      <c r="J509" s="8"/>
    </row>
    <row r="510">
      <c r="A510" s="82"/>
      <c r="J510" s="8"/>
    </row>
    <row r="511">
      <c r="A511" s="82"/>
      <c r="J511" s="8"/>
    </row>
    <row r="512">
      <c r="A512" s="82"/>
      <c r="J512" s="8"/>
    </row>
    <row r="513">
      <c r="A513" s="82"/>
      <c r="J513" s="8"/>
    </row>
    <row r="514">
      <c r="A514" s="82"/>
      <c r="J514" s="8"/>
    </row>
    <row r="515">
      <c r="A515" s="82"/>
      <c r="J515" s="8"/>
    </row>
    <row r="516">
      <c r="A516" s="82"/>
      <c r="J516" s="8"/>
    </row>
    <row r="517">
      <c r="A517" s="82"/>
      <c r="J517" s="8"/>
    </row>
    <row r="518">
      <c r="A518" s="82"/>
      <c r="J518" s="8"/>
    </row>
    <row r="519">
      <c r="A519" s="82"/>
      <c r="J519" s="8"/>
    </row>
    <row r="520">
      <c r="A520" s="82"/>
      <c r="J520" s="8"/>
    </row>
    <row r="521">
      <c r="A521" s="82"/>
      <c r="J521" s="8"/>
    </row>
    <row r="522">
      <c r="A522" s="82"/>
      <c r="J522" s="8"/>
    </row>
    <row r="523">
      <c r="A523" s="82"/>
      <c r="J523" s="8"/>
    </row>
    <row r="524">
      <c r="A524" s="82"/>
      <c r="J524" s="8"/>
    </row>
    <row r="525">
      <c r="A525" s="82"/>
      <c r="J525" s="8"/>
    </row>
    <row r="526">
      <c r="A526" s="82"/>
      <c r="J526" s="8"/>
    </row>
    <row r="527">
      <c r="A527" s="82"/>
      <c r="J527" s="8"/>
    </row>
    <row r="528">
      <c r="A528" s="82"/>
      <c r="J528" s="8"/>
    </row>
    <row r="529">
      <c r="A529" s="82"/>
      <c r="J529" s="8"/>
    </row>
    <row r="530">
      <c r="A530" s="82"/>
      <c r="J530" s="8"/>
    </row>
    <row r="531">
      <c r="A531" s="82"/>
      <c r="J531" s="8"/>
    </row>
    <row r="532">
      <c r="A532" s="82"/>
      <c r="J532" s="8"/>
    </row>
    <row r="533">
      <c r="A533" s="82"/>
      <c r="J533" s="8"/>
    </row>
    <row r="534">
      <c r="A534" s="82"/>
      <c r="J534" s="8"/>
    </row>
    <row r="535">
      <c r="A535" s="82"/>
      <c r="J535" s="8"/>
    </row>
    <row r="536">
      <c r="A536" s="82"/>
      <c r="J536" s="8"/>
    </row>
    <row r="537">
      <c r="A537" s="82"/>
      <c r="J537" s="8"/>
    </row>
    <row r="538">
      <c r="A538" s="82"/>
      <c r="J538" s="8"/>
    </row>
    <row r="539">
      <c r="A539" s="82"/>
      <c r="J539" s="8"/>
    </row>
    <row r="540">
      <c r="A540" s="82"/>
      <c r="J540" s="8"/>
    </row>
    <row r="541">
      <c r="A541" s="82"/>
      <c r="J541" s="8"/>
    </row>
    <row r="542">
      <c r="A542" s="82"/>
      <c r="J542" s="8"/>
    </row>
    <row r="543">
      <c r="A543" s="82"/>
      <c r="J543" s="8"/>
    </row>
    <row r="544">
      <c r="A544" s="82"/>
      <c r="J544" s="8"/>
    </row>
    <row r="545">
      <c r="A545" s="82"/>
      <c r="J545" s="8"/>
    </row>
    <row r="546">
      <c r="A546" s="82"/>
      <c r="J546" s="8"/>
    </row>
    <row r="547">
      <c r="A547" s="82"/>
      <c r="J547" s="8"/>
    </row>
    <row r="548">
      <c r="A548" s="82"/>
      <c r="J548" s="8"/>
    </row>
    <row r="549">
      <c r="A549" s="82"/>
      <c r="J549" s="8"/>
    </row>
    <row r="550">
      <c r="A550" s="82"/>
      <c r="J550" s="8"/>
    </row>
    <row r="551">
      <c r="A551" s="82"/>
      <c r="J551" s="8"/>
    </row>
    <row r="552">
      <c r="A552" s="82"/>
      <c r="J552" s="8"/>
    </row>
    <row r="553">
      <c r="A553" s="82"/>
      <c r="J553" s="8"/>
    </row>
    <row r="554">
      <c r="A554" s="82"/>
      <c r="J554" s="8"/>
    </row>
    <row r="555">
      <c r="A555" s="82"/>
      <c r="J555" s="8"/>
    </row>
    <row r="556">
      <c r="A556" s="82"/>
      <c r="J556" s="8"/>
    </row>
    <row r="557">
      <c r="A557" s="82"/>
      <c r="J557" s="8"/>
    </row>
    <row r="558">
      <c r="A558" s="82"/>
      <c r="J558" s="8"/>
    </row>
    <row r="559">
      <c r="A559" s="82"/>
      <c r="J559" s="8"/>
    </row>
    <row r="560">
      <c r="A560" s="82"/>
      <c r="J560" s="8"/>
    </row>
    <row r="561">
      <c r="A561" s="82"/>
      <c r="J561" s="8"/>
    </row>
    <row r="562">
      <c r="A562" s="82"/>
      <c r="J562" s="8"/>
    </row>
    <row r="563">
      <c r="A563" s="82"/>
      <c r="J563" s="8"/>
    </row>
    <row r="564">
      <c r="A564" s="82"/>
      <c r="J564" s="8"/>
    </row>
    <row r="565">
      <c r="A565" s="82"/>
      <c r="J565" s="8"/>
    </row>
    <row r="566">
      <c r="A566" s="82"/>
      <c r="J566" s="8"/>
    </row>
    <row r="567">
      <c r="A567" s="82"/>
      <c r="J567" s="8"/>
    </row>
    <row r="568">
      <c r="A568" s="82"/>
      <c r="J568" s="8"/>
    </row>
    <row r="569">
      <c r="A569" s="82"/>
      <c r="J569" s="8"/>
    </row>
    <row r="570">
      <c r="A570" s="82"/>
      <c r="J570" s="8"/>
    </row>
    <row r="571">
      <c r="A571" s="82"/>
      <c r="J571" s="8"/>
    </row>
    <row r="572">
      <c r="A572" s="82"/>
      <c r="J572" s="8"/>
    </row>
    <row r="573">
      <c r="A573" s="82"/>
      <c r="J573" s="8"/>
    </row>
    <row r="574">
      <c r="A574" s="82"/>
      <c r="J574" s="8"/>
    </row>
    <row r="575">
      <c r="A575" s="82"/>
      <c r="J575" s="8"/>
    </row>
    <row r="576">
      <c r="A576" s="82"/>
      <c r="J576" s="8"/>
    </row>
    <row r="577">
      <c r="A577" s="82"/>
      <c r="J577" s="8"/>
    </row>
    <row r="578">
      <c r="A578" s="82"/>
      <c r="J578" s="8"/>
    </row>
    <row r="579">
      <c r="A579" s="82"/>
      <c r="J579" s="8"/>
    </row>
    <row r="580">
      <c r="A580" s="82"/>
      <c r="J580" s="8"/>
    </row>
    <row r="581">
      <c r="A581" s="82"/>
      <c r="J581" s="8"/>
    </row>
    <row r="582">
      <c r="A582" s="82"/>
      <c r="J582" s="8"/>
    </row>
    <row r="583">
      <c r="A583" s="82"/>
      <c r="J583" s="8"/>
    </row>
    <row r="584">
      <c r="A584" s="82"/>
      <c r="J584" s="8"/>
    </row>
    <row r="585">
      <c r="A585" s="82"/>
      <c r="J585" s="8"/>
    </row>
    <row r="586">
      <c r="A586" s="82"/>
      <c r="J586" s="8"/>
    </row>
    <row r="587">
      <c r="A587" s="82"/>
      <c r="J587" s="8"/>
    </row>
    <row r="588">
      <c r="A588" s="82"/>
      <c r="J588" s="8"/>
    </row>
    <row r="589">
      <c r="A589" s="82"/>
      <c r="J589" s="8"/>
    </row>
    <row r="590">
      <c r="A590" s="82"/>
      <c r="J590" s="8"/>
    </row>
    <row r="591">
      <c r="A591" s="82"/>
      <c r="J591" s="8"/>
    </row>
    <row r="592">
      <c r="A592" s="82"/>
      <c r="J592" s="8"/>
    </row>
    <row r="593">
      <c r="A593" s="82"/>
      <c r="J593" s="8"/>
    </row>
    <row r="594">
      <c r="A594" s="82"/>
      <c r="J594" s="8"/>
    </row>
    <row r="595">
      <c r="A595" s="82"/>
      <c r="J595" s="8"/>
    </row>
    <row r="596">
      <c r="A596" s="82"/>
      <c r="J596" s="8"/>
    </row>
    <row r="597">
      <c r="A597" s="82"/>
      <c r="J597" s="8"/>
    </row>
    <row r="598">
      <c r="A598" s="82"/>
      <c r="J598" s="8"/>
    </row>
    <row r="599">
      <c r="A599" s="82"/>
      <c r="J599" s="8"/>
    </row>
    <row r="600">
      <c r="A600" s="82"/>
      <c r="J600" s="8"/>
    </row>
    <row r="601">
      <c r="A601" s="82"/>
      <c r="J601" s="8"/>
    </row>
    <row r="602">
      <c r="A602" s="82"/>
      <c r="J602" s="8"/>
    </row>
    <row r="603">
      <c r="A603" s="82"/>
      <c r="J603" s="8"/>
    </row>
    <row r="604">
      <c r="A604" s="82"/>
      <c r="J604" s="8"/>
    </row>
    <row r="605">
      <c r="A605" s="82"/>
      <c r="J605" s="8"/>
    </row>
    <row r="606">
      <c r="A606" s="82"/>
      <c r="J606" s="8"/>
    </row>
    <row r="607">
      <c r="A607" s="82"/>
      <c r="J607" s="8"/>
    </row>
    <row r="608">
      <c r="A608" s="82"/>
      <c r="J608" s="8"/>
    </row>
    <row r="609">
      <c r="A609" s="82"/>
      <c r="J609" s="8"/>
    </row>
    <row r="610">
      <c r="A610" s="82"/>
      <c r="J610" s="8"/>
    </row>
    <row r="611">
      <c r="A611" s="82"/>
      <c r="J611" s="8"/>
    </row>
    <row r="612">
      <c r="A612" s="82"/>
      <c r="J612" s="8"/>
    </row>
    <row r="613">
      <c r="A613" s="82"/>
      <c r="J613" s="8"/>
    </row>
    <row r="614">
      <c r="A614" s="82"/>
      <c r="J614" s="8"/>
    </row>
    <row r="615">
      <c r="A615" s="82"/>
      <c r="J615" s="8"/>
    </row>
    <row r="616">
      <c r="A616" s="82"/>
      <c r="J616" s="8"/>
    </row>
    <row r="617">
      <c r="A617" s="82"/>
      <c r="J617" s="8"/>
    </row>
    <row r="618">
      <c r="A618" s="82"/>
      <c r="J618" s="8"/>
    </row>
    <row r="619">
      <c r="A619" s="82"/>
      <c r="J619" s="8"/>
    </row>
    <row r="620">
      <c r="A620" s="82"/>
      <c r="J620" s="8"/>
    </row>
    <row r="621">
      <c r="A621" s="82"/>
      <c r="J621" s="8"/>
    </row>
    <row r="622">
      <c r="A622" s="82"/>
      <c r="J622" s="8"/>
    </row>
    <row r="623">
      <c r="A623" s="82"/>
      <c r="J623" s="8"/>
    </row>
    <row r="624">
      <c r="A624" s="82"/>
      <c r="J624" s="8"/>
    </row>
    <row r="625">
      <c r="A625" s="82"/>
      <c r="J625" s="8"/>
    </row>
    <row r="626">
      <c r="A626" s="82"/>
      <c r="J626" s="8"/>
    </row>
    <row r="627">
      <c r="A627" s="82"/>
      <c r="J627" s="8"/>
    </row>
    <row r="628">
      <c r="A628" s="82"/>
      <c r="J628" s="8"/>
    </row>
    <row r="629">
      <c r="A629" s="82"/>
      <c r="J629" s="8"/>
    </row>
    <row r="630">
      <c r="A630" s="82"/>
      <c r="J630" s="8"/>
    </row>
    <row r="631">
      <c r="A631" s="82"/>
      <c r="J631" s="8"/>
    </row>
    <row r="632">
      <c r="A632" s="82"/>
      <c r="J632" s="8"/>
    </row>
    <row r="633">
      <c r="A633" s="82"/>
      <c r="J633" s="8"/>
    </row>
    <row r="634">
      <c r="A634" s="82"/>
      <c r="J634" s="8"/>
    </row>
    <row r="635">
      <c r="A635" s="82"/>
      <c r="J635" s="8"/>
    </row>
    <row r="636">
      <c r="A636" s="82"/>
      <c r="J636" s="8"/>
    </row>
    <row r="637">
      <c r="A637" s="82"/>
      <c r="J637" s="8"/>
    </row>
    <row r="638">
      <c r="A638" s="82"/>
      <c r="J638" s="8"/>
    </row>
    <row r="639">
      <c r="A639" s="82"/>
      <c r="J639" s="8"/>
    </row>
    <row r="640">
      <c r="A640" s="82"/>
      <c r="J640" s="8"/>
    </row>
    <row r="641">
      <c r="A641" s="82"/>
      <c r="J641" s="8"/>
    </row>
    <row r="642">
      <c r="A642" s="82"/>
      <c r="J642" s="8"/>
    </row>
    <row r="643">
      <c r="A643" s="82"/>
      <c r="J643" s="8"/>
    </row>
    <row r="644">
      <c r="A644" s="82"/>
      <c r="J644" s="8"/>
    </row>
    <row r="645">
      <c r="A645" s="82"/>
      <c r="J645" s="8"/>
    </row>
    <row r="646">
      <c r="A646" s="82"/>
      <c r="J646" s="8"/>
    </row>
    <row r="647">
      <c r="A647" s="82"/>
      <c r="J647" s="8"/>
    </row>
    <row r="648">
      <c r="A648" s="82"/>
      <c r="J648" s="8"/>
    </row>
    <row r="649">
      <c r="A649" s="82"/>
      <c r="J649" s="8"/>
    </row>
    <row r="650">
      <c r="A650" s="82"/>
      <c r="J650" s="8"/>
    </row>
    <row r="651">
      <c r="A651" s="82"/>
      <c r="J651" s="8"/>
    </row>
    <row r="652">
      <c r="A652" s="82"/>
      <c r="J652" s="8"/>
    </row>
    <row r="653">
      <c r="A653" s="82"/>
      <c r="J653" s="8"/>
    </row>
    <row r="654">
      <c r="A654" s="82"/>
      <c r="J654" s="8"/>
    </row>
    <row r="655">
      <c r="A655" s="82"/>
      <c r="J655" s="8"/>
    </row>
    <row r="656">
      <c r="A656" s="82"/>
      <c r="J656" s="8"/>
    </row>
    <row r="657">
      <c r="A657" s="82"/>
      <c r="J657" s="8"/>
    </row>
    <row r="658">
      <c r="A658" s="82"/>
      <c r="J658" s="8"/>
    </row>
    <row r="659">
      <c r="A659" s="82"/>
      <c r="J659" s="8"/>
    </row>
    <row r="660">
      <c r="A660" s="82"/>
      <c r="J660" s="8"/>
    </row>
    <row r="661">
      <c r="A661" s="82"/>
      <c r="J661" s="8"/>
    </row>
    <row r="662">
      <c r="A662" s="82"/>
      <c r="J662" s="8"/>
    </row>
    <row r="663">
      <c r="A663" s="82"/>
      <c r="J663" s="8"/>
    </row>
    <row r="664">
      <c r="A664" s="82"/>
      <c r="J664" s="8"/>
    </row>
    <row r="665">
      <c r="A665" s="82"/>
      <c r="J665" s="8"/>
    </row>
    <row r="666">
      <c r="A666" s="82"/>
      <c r="J666" s="8"/>
    </row>
    <row r="667">
      <c r="A667" s="82"/>
      <c r="J667" s="8"/>
    </row>
    <row r="668">
      <c r="A668" s="82"/>
      <c r="J668" s="8"/>
    </row>
    <row r="669">
      <c r="A669" s="82"/>
      <c r="J669" s="8"/>
    </row>
    <row r="670">
      <c r="A670" s="82"/>
      <c r="J670" s="8"/>
    </row>
    <row r="671">
      <c r="A671" s="82"/>
      <c r="J671" s="8"/>
    </row>
    <row r="672">
      <c r="A672" s="82"/>
      <c r="J672" s="8"/>
    </row>
    <row r="673">
      <c r="A673" s="82"/>
      <c r="J673" s="8"/>
    </row>
    <row r="674">
      <c r="A674" s="82"/>
      <c r="J674" s="8"/>
    </row>
    <row r="675">
      <c r="A675" s="82"/>
      <c r="J675" s="8"/>
    </row>
    <row r="676">
      <c r="A676" s="82"/>
      <c r="J676" s="8"/>
    </row>
    <row r="677">
      <c r="A677" s="82"/>
      <c r="J677" s="8"/>
    </row>
    <row r="678">
      <c r="A678" s="82"/>
      <c r="J678" s="8"/>
    </row>
    <row r="679">
      <c r="A679" s="82"/>
      <c r="J679" s="8"/>
    </row>
    <row r="680">
      <c r="A680" s="82"/>
      <c r="J680" s="8"/>
    </row>
    <row r="681">
      <c r="A681" s="82"/>
      <c r="J681" s="8"/>
    </row>
    <row r="682">
      <c r="A682" s="82"/>
      <c r="J682" s="8"/>
    </row>
    <row r="683">
      <c r="A683" s="82"/>
      <c r="J683" s="8"/>
    </row>
    <row r="684">
      <c r="A684" s="82"/>
      <c r="J684" s="8"/>
    </row>
    <row r="685">
      <c r="A685" s="82"/>
      <c r="J685" s="8"/>
    </row>
    <row r="686">
      <c r="A686" s="82"/>
      <c r="J686" s="8"/>
    </row>
    <row r="687">
      <c r="A687" s="82"/>
      <c r="J687" s="8"/>
    </row>
    <row r="688">
      <c r="A688" s="82"/>
      <c r="J688" s="8"/>
    </row>
    <row r="689">
      <c r="A689" s="82"/>
      <c r="J689" s="8"/>
    </row>
    <row r="690">
      <c r="A690" s="82"/>
      <c r="J690" s="8"/>
    </row>
    <row r="691">
      <c r="A691" s="82"/>
      <c r="J691" s="8"/>
    </row>
    <row r="692">
      <c r="A692" s="82"/>
      <c r="J692" s="8"/>
    </row>
    <row r="693">
      <c r="A693" s="82"/>
      <c r="J693" s="8"/>
    </row>
    <row r="694">
      <c r="A694" s="82"/>
      <c r="J694" s="8"/>
    </row>
    <row r="695">
      <c r="A695" s="82"/>
      <c r="J695" s="8"/>
    </row>
    <row r="696">
      <c r="A696" s="82"/>
      <c r="J696" s="8"/>
    </row>
    <row r="697">
      <c r="A697" s="82"/>
      <c r="J697" s="8"/>
    </row>
    <row r="698">
      <c r="A698" s="82"/>
      <c r="J698" s="8"/>
    </row>
    <row r="699">
      <c r="A699" s="82"/>
      <c r="J699" s="8"/>
    </row>
    <row r="700">
      <c r="A700" s="82"/>
      <c r="J700" s="8"/>
    </row>
    <row r="701">
      <c r="A701" s="82"/>
      <c r="J701" s="8"/>
    </row>
    <row r="702">
      <c r="A702" s="82"/>
      <c r="J702" s="8"/>
    </row>
    <row r="703">
      <c r="A703" s="82"/>
      <c r="J703" s="8"/>
    </row>
    <row r="704">
      <c r="A704" s="82"/>
      <c r="J704" s="8"/>
    </row>
    <row r="705">
      <c r="A705" s="82"/>
      <c r="J705" s="8"/>
    </row>
    <row r="706">
      <c r="A706" s="82"/>
      <c r="J706" s="8"/>
    </row>
    <row r="707">
      <c r="A707" s="82"/>
      <c r="J707" s="8"/>
    </row>
    <row r="708">
      <c r="A708" s="82"/>
      <c r="J708" s="8"/>
    </row>
    <row r="709">
      <c r="A709" s="82"/>
      <c r="J709" s="8"/>
    </row>
    <row r="710">
      <c r="A710" s="82"/>
      <c r="J710" s="8"/>
    </row>
    <row r="711">
      <c r="A711" s="82"/>
      <c r="J711" s="8"/>
    </row>
    <row r="712">
      <c r="A712" s="82"/>
      <c r="J712" s="8"/>
    </row>
    <row r="713">
      <c r="A713" s="82"/>
      <c r="J713" s="8"/>
    </row>
    <row r="714">
      <c r="A714" s="82"/>
      <c r="J714" s="8"/>
    </row>
    <row r="715">
      <c r="A715" s="82"/>
      <c r="J715" s="8"/>
    </row>
    <row r="716">
      <c r="A716" s="82"/>
      <c r="J716" s="8"/>
    </row>
    <row r="717">
      <c r="A717" s="82"/>
      <c r="J717" s="8"/>
    </row>
    <row r="718">
      <c r="A718" s="82"/>
      <c r="J718" s="8"/>
    </row>
    <row r="719">
      <c r="A719" s="82"/>
      <c r="J719" s="8"/>
    </row>
    <row r="720">
      <c r="A720" s="82"/>
      <c r="J720" s="8"/>
    </row>
    <row r="721">
      <c r="A721" s="82"/>
      <c r="J721" s="8"/>
    </row>
    <row r="722">
      <c r="A722" s="82"/>
      <c r="J722" s="8"/>
    </row>
    <row r="723">
      <c r="A723" s="82"/>
      <c r="J723" s="8"/>
    </row>
    <row r="724">
      <c r="A724" s="82"/>
      <c r="J724" s="8"/>
    </row>
    <row r="725">
      <c r="A725" s="82"/>
      <c r="J725" s="8"/>
    </row>
    <row r="726">
      <c r="A726" s="82"/>
      <c r="J726" s="8"/>
    </row>
    <row r="727">
      <c r="A727" s="82"/>
      <c r="J727" s="8"/>
    </row>
    <row r="728">
      <c r="A728" s="82"/>
      <c r="J728" s="8"/>
    </row>
    <row r="729">
      <c r="A729" s="82"/>
      <c r="J729" s="8"/>
    </row>
    <row r="730">
      <c r="A730" s="82"/>
      <c r="J730" s="8"/>
    </row>
    <row r="731">
      <c r="A731" s="82"/>
      <c r="J731" s="8"/>
    </row>
    <row r="732">
      <c r="A732" s="82"/>
      <c r="J732" s="8"/>
    </row>
    <row r="733">
      <c r="A733" s="82"/>
      <c r="J733" s="8"/>
    </row>
    <row r="734">
      <c r="A734" s="82"/>
      <c r="J734" s="8"/>
    </row>
    <row r="735">
      <c r="A735" s="82"/>
      <c r="J735" s="8"/>
    </row>
    <row r="736">
      <c r="A736" s="82"/>
      <c r="J736" s="8"/>
    </row>
    <row r="737">
      <c r="A737" s="82"/>
      <c r="J737" s="8"/>
    </row>
    <row r="738">
      <c r="A738" s="82"/>
      <c r="J738" s="8"/>
    </row>
    <row r="739">
      <c r="A739" s="82"/>
      <c r="J739" s="8"/>
    </row>
    <row r="740">
      <c r="A740" s="82"/>
      <c r="J740" s="8"/>
    </row>
    <row r="741">
      <c r="A741" s="82"/>
      <c r="J741" s="8"/>
    </row>
    <row r="742">
      <c r="A742" s="82"/>
      <c r="J742" s="8"/>
    </row>
    <row r="743">
      <c r="A743" s="82"/>
      <c r="J743" s="8"/>
    </row>
    <row r="744">
      <c r="A744" s="82"/>
      <c r="J744" s="8"/>
    </row>
    <row r="745">
      <c r="A745" s="82"/>
      <c r="J745" s="8"/>
    </row>
    <row r="746">
      <c r="A746" s="82"/>
      <c r="J746" s="8"/>
    </row>
    <row r="747">
      <c r="A747" s="82"/>
      <c r="J747" s="8"/>
    </row>
    <row r="748">
      <c r="A748" s="82"/>
      <c r="J748" s="8"/>
    </row>
    <row r="749">
      <c r="A749" s="82"/>
      <c r="J749" s="8"/>
    </row>
    <row r="750">
      <c r="A750" s="82"/>
      <c r="J750" s="8"/>
    </row>
    <row r="751">
      <c r="A751" s="82"/>
      <c r="J751" s="8"/>
    </row>
    <row r="752">
      <c r="A752" s="82"/>
      <c r="J752" s="8"/>
    </row>
    <row r="753">
      <c r="A753" s="82"/>
      <c r="J753" s="8"/>
    </row>
    <row r="754">
      <c r="A754" s="82"/>
      <c r="J754" s="8"/>
    </row>
    <row r="755">
      <c r="A755" s="82"/>
      <c r="J755" s="8"/>
    </row>
    <row r="756">
      <c r="A756" s="82"/>
      <c r="J756" s="8"/>
    </row>
    <row r="757">
      <c r="A757" s="82"/>
      <c r="J757" s="8"/>
    </row>
    <row r="758">
      <c r="A758" s="82"/>
      <c r="J758" s="8"/>
    </row>
    <row r="759">
      <c r="A759" s="82"/>
      <c r="J759" s="8"/>
    </row>
    <row r="760">
      <c r="A760" s="82"/>
      <c r="J760" s="8"/>
    </row>
    <row r="761">
      <c r="A761" s="82"/>
      <c r="J761" s="8"/>
    </row>
    <row r="762">
      <c r="A762" s="82"/>
      <c r="J762" s="8"/>
    </row>
    <row r="763">
      <c r="A763" s="82"/>
      <c r="J763" s="8"/>
    </row>
    <row r="764">
      <c r="A764" s="82"/>
      <c r="J764" s="8"/>
    </row>
    <row r="765">
      <c r="A765" s="82"/>
      <c r="J765" s="8"/>
    </row>
    <row r="766">
      <c r="A766" s="82"/>
      <c r="J766" s="8"/>
    </row>
    <row r="767">
      <c r="A767" s="82"/>
      <c r="J767" s="8"/>
    </row>
    <row r="768">
      <c r="A768" s="82"/>
      <c r="J768" s="8"/>
    </row>
    <row r="769">
      <c r="A769" s="82"/>
      <c r="J769" s="8"/>
    </row>
    <row r="770">
      <c r="A770" s="82"/>
      <c r="J770" s="8"/>
    </row>
    <row r="771">
      <c r="A771" s="82"/>
      <c r="J771" s="8"/>
    </row>
    <row r="772">
      <c r="A772" s="82"/>
      <c r="J772" s="8"/>
    </row>
    <row r="773">
      <c r="A773" s="82"/>
      <c r="J773" s="8"/>
    </row>
    <row r="774">
      <c r="A774" s="82"/>
      <c r="J774" s="8"/>
    </row>
    <row r="775">
      <c r="A775" s="82"/>
      <c r="J775" s="8"/>
    </row>
    <row r="776">
      <c r="A776" s="82"/>
      <c r="J776" s="8"/>
    </row>
    <row r="777">
      <c r="A777" s="82"/>
      <c r="J777" s="8"/>
    </row>
    <row r="778">
      <c r="A778" s="82"/>
      <c r="J778" s="8"/>
    </row>
    <row r="779">
      <c r="A779" s="82"/>
      <c r="J779" s="8"/>
    </row>
    <row r="780">
      <c r="A780" s="82"/>
      <c r="J780" s="8"/>
    </row>
    <row r="781">
      <c r="A781" s="82"/>
      <c r="J781" s="8"/>
    </row>
    <row r="782">
      <c r="A782" s="82"/>
      <c r="J782" s="8"/>
    </row>
    <row r="783">
      <c r="A783" s="82"/>
      <c r="J783" s="8"/>
    </row>
    <row r="784">
      <c r="A784" s="82"/>
      <c r="J784" s="8"/>
    </row>
    <row r="785">
      <c r="A785" s="82"/>
      <c r="J785" s="8"/>
    </row>
    <row r="786">
      <c r="A786" s="82"/>
      <c r="J786" s="8"/>
    </row>
    <row r="787">
      <c r="A787" s="82"/>
      <c r="J787" s="8"/>
    </row>
    <row r="788">
      <c r="A788" s="82"/>
      <c r="J788" s="8"/>
    </row>
    <row r="789">
      <c r="A789" s="82"/>
      <c r="J789" s="8"/>
    </row>
    <row r="790">
      <c r="A790" s="82"/>
      <c r="J790" s="8"/>
    </row>
    <row r="791">
      <c r="A791" s="82"/>
      <c r="J791" s="8"/>
    </row>
    <row r="792">
      <c r="A792" s="82"/>
      <c r="J792" s="8"/>
    </row>
    <row r="793">
      <c r="A793" s="82"/>
      <c r="J793" s="8"/>
    </row>
    <row r="794">
      <c r="A794" s="82"/>
      <c r="J794" s="8"/>
    </row>
    <row r="795">
      <c r="A795" s="82"/>
      <c r="J795" s="8"/>
    </row>
    <row r="796">
      <c r="A796" s="82"/>
      <c r="J796" s="8"/>
    </row>
    <row r="797">
      <c r="A797" s="82"/>
      <c r="J797" s="8"/>
    </row>
    <row r="798">
      <c r="A798" s="82"/>
      <c r="J798" s="8"/>
    </row>
    <row r="799">
      <c r="A799" s="82"/>
      <c r="J799" s="8"/>
    </row>
    <row r="800">
      <c r="A800" s="82"/>
      <c r="J800" s="8"/>
    </row>
    <row r="801">
      <c r="A801" s="82"/>
      <c r="J801" s="8"/>
    </row>
    <row r="802">
      <c r="A802" s="82"/>
      <c r="J802" s="8"/>
    </row>
    <row r="803">
      <c r="A803" s="82"/>
      <c r="J803" s="8"/>
    </row>
    <row r="804">
      <c r="A804" s="82"/>
      <c r="J804" s="8"/>
    </row>
    <row r="805">
      <c r="A805" s="82"/>
      <c r="J805" s="8"/>
    </row>
    <row r="806">
      <c r="A806" s="82"/>
      <c r="J806" s="8"/>
    </row>
    <row r="807">
      <c r="A807" s="82"/>
      <c r="J807" s="8"/>
    </row>
    <row r="808">
      <c r="A808" s="82"/>
      <c r="J808" s="8"/>
    </row>
    <row r="809">
      <c r="A809" s="82"/>
      <c r="J809" s="8"/>
    </row>
    <row r="810">
      <c r="A810" s="82"/>
      <c r="J810" s="8"/>
    </row>
    <row r="811">
      <c r="A811" s="82"/>
      <c r="J811" s="8"/>
    </row>
    <row r="812">
      <c r="A812" s="82"/>
      <c r="J812" s="8"/>
    </row>
    <row r="813">
      <c r="A813" s="82"/>
      <c r="J813" s="8"/>
    </row>
    <row r="814">
      <c r="A814" s="82"/>
      <c r="J814" s="8"/>
    </row>
    <row r="815">
      <c r="A815" s="82"/>
      <c r="J815" s="8"/>
    </row>
    <row r="816">
      <c r="A816" s="82"/>
      <c r="J816" s="8"/>
    </row>
    <row r="817">
      <c r="A817" s="82"/>
      <c r="J817" s="8"/>
    </row>
    <row r="818">
      <c r="A818" s="82"/>
      <c r="J818" s="8"/>
    </row>
    <row r="819">
      <c r="A819" s="82"/>
      <c r="J819" s="8"/>
    </row>
    <row r="820">
      <c r="A820" s="82"/>
      <c r="J820" s="8"/>
    </row>
    <row r="821">
      <c r="A821" s="82"/>
      <c r="J821" s="8"/>
    </row>
    <row r="822">
      <c r="A822" s="82"/>
      <c r="J822" s="8"/>
    </row>
    <row r="823">
      <c r="A823" s="82"/>
      <c r="J823" s="8"/>
    </row>
    <row r="824">
      <c r="A824" s="82"/>
      <c r="J824" s="8"/>
    </row>
    <row r="825">
      <c r="A825" s="82"/>
      <c r="J825" s="8"/>
    </row>
    <row r="826">
      <c r="A826" s="82"/>
      <c r="J826" s="8"/>
    </row>
    <row r="827">
      <c r="A827" s="82"/>
      <c r="J827" s="8"/>
    </row>
    <row r="828">
      <c r="A828" s="82"/>
      <c r="J828" s="8"/>
    </row>
    <row r="829">
      <c r="A829" s="82"/>
      <c r="J829" s="8"/>
    </row>
    <row r="830">
      <c r="A830" s="82"/>
      <c r="J830" s="8"/>
    </row>
    <row r="831">
      <c r="A831" s="82"/>
      <c r="J831" s="8"/>
    </row>
    <row r="832">
      <c r="A832" s="82"/>
      <c r="J832" s="8"/>
    </row>
    <row r="833">
      <c r="A833" s="82"/>
      <c r="J833" s="8"/>
    </row>
    <row r="834">
      <c r="A834" s="82"/>
      <c r="J834" s="8"/>
    </row>
    <row r="835">
      <c r="A835" s="82"/>
      <c r="J835" s="8"/>
    </row>
    <row r="836">
      <c r="A836" s="82"/>
      <c r="J836" s="8"/>
    </row>
    <row r="837">
      <c r="A837" s="82"/>
      <c r="J837" s="8"/>
    </row>
    <row r="838">
      <c r="A838" s="82"/>
      <c r="J838" s="8"/>
    </row>
    <row r="839">
      <c r="A839" s="82"/>
      <c r="J839" s="8"/>
    </row>
    <row r="840">
      <c r="A840" s="82"/>
      <c r="J840" s="8"/>
    </row>
    <row r="841">
      <c r="A841" s="82"/>
      <c r="J841" s="8"/>
    </row>
    <row r="842">
      <c r="A842" s="82"/>
      <c r="J842" s="8"/>
    </row>
    <row r="843">
      <c r="A843" s="82"/>
      <c r="J843" s="8"/>
    </row>
    <row r="844">
      <c r="A844" s="82"/>
      <c r="J844" s="8"/>
    </row>
    <row r="845">
      <c r="A845" s="82"/>
      <c r="J845" s="8"/>
    </row>
    <row r="846">
      <c r="A846" s="82"/>
      <c r="J846" s="8"/>
    </row>
    <row r="847">
      <c r="A847" s="82"/>
      <c r="J847" s="8"/>
    </row>
    <row r="848">
      <c r="A848" s="82"/>
      <c r="J848" s="8"/>
    </row>
    <row r="849">
      <c r="A849" s="82"/>
      <c r="J849" s="8"/>
    </row>
    <row r="850">
      <c r="A850" s="82"/>
      <c r="J850" s="8"/>
    </row>
    <row r="851">
      <c r="A851" s="82"/>
      <c r="J851" s="8"/>
    </row>
    <row r="852">
      <c r="A852" s="82"/>
      <c r="J852" s="8"/>
    </row>
    <row r="853">
      <c r="A853" s="82"/>
      <c r="J853" s="8"/>
    </row>
    <row r="854">
      <c r="A854" s="82"/>
      <c r="J854" s="8"/>
    </row>
    <row r="855">
      <c r="A855" s="82"/>
      <c r="J855" s="8"/>
    </row>
    <row r="856">
      <c r="A856" s="82"/>
      <c r="J856" s="8"/>
    </row>
    <row r="857">
      <c r="A857" s="82"/>
      <c r="J857" s="8"/>
    </row>
    <row r="858">
      <c r="A858" s="82"/>
      <c r="J858" s="8"/>
    </row>
    <row r="859">
      <c r="A859" s="82"/>
      <c r="J859" s="8"/>
    </row>
    <row r="860">
      <c r="A860" s="82"/>
      <c r="J860" s="8"/>
    </row>
    <row r="861">
      <c r="A861" s="82"/>
      <c r="J861" s="8"/>
    </row>
    <row r="862">
      <c r="A862" s="82"/>
      <c r="J862" s="8"/>
    </row>
    <row r="863">
      <c r="A863" s="82"/>
      <c r="J863" s="8"/>
    </row>
    <row r="864">
      <c r="A864" s="82"/>
      <c r="J864" s="8"/>
    </row>
    <row r="865">
      <c r="A865" s="82"/>
      <c r="J865" s="8"/>
    </row>
    <row r="866">
      <c r="A866" s="82"/>
      <c r="J866" s="8"/>
    </row>
    <row r="867">
      <c r="A867" s="82"/>
      <c r="J867" s="8"/>
    </row>
    <row r="868">
      <c r="A868" s="82"/>
      <c r="J868" s="8"/>
    </row>
    <row r="869">
      <c r="A869" s="82"/>
      <c r="J869" s="8"/>
    </row>
    <row r="870">
      <c r="A870" s="82"/>
      <c r="J870" s="8"/>
    </row>
    <row r="871">
      <c r="A871" s="82"/>
      <c r="J871" s="8"/>
    </row>
    <row r="872">
      <c r="A872" s="82"/>
      <c r="J872" s="8"/>
    </row>
    <row r="873">
      <c r="A873" s="82"/>
      <c r="J873" s="8"/>
    </row>
    <row r="874">
      <c r="A874" s="82"/>
      <c r="J874" s="8"/>
    </row>
    <row r="875">
      <c r="A875" s="82"/>
      <c r="J875" s="8"/>
    </row>
    <row r="876">
      <c r="A876" s="82"/>
      <c r="J876" s="8"/>
    </row>
    <row r="877">
      <c r="A877" s="82"/>
      <c r="J877" s="8"/>
    </row>
    <row r="878">
      <c r="A878" s="82"/>
      <c r="J878" s="8"/>
    </row>
    <row r="879">
      <c r="A879" s="82"/>
      <c r="J879" s="8"/>
    </row>
    <row r="880">
      <c r="A880" s="82"/>
      <c r="J880" s="8"/>
    </row>
    <row r="881">
      <c r="A881" s="82"/>
      <c r="J881" s="8"/>
    </row>
    <row r="882">
      <c r="A882" s="82"/>
      <c r="J882" s="8"/>
    </row>
    <row r="883">
      <c r="A883" s="82"/>
      <c r="J883" s="8"/>
    </row>
    <row r="884">
      <c r="A884" s="82"/>
      <c r="J884" s="8"/>
    </row>
    <row r="885">
      <c r="A885" s="82"/>
      <c r="J885" s="8"/>
    </row>
    <row r="886">
      <c r="A886" s="82"/>
      <c r="J886" s="8"/>
    </row>
    <row r="887">
      <c r="A887" s="82"/>
      <c r="J887" s="8"/>
    </row>
    <row r="888">
      <c r="A888" s="82"/>
      <c r="J888" s="8"/>
    </row>
    <row r="889">
      <c r="A889" s="82"/>
      <c r="J889" s="8"/>
    </row>
    <row r="890">
      <c r="A890" s="82"/>
      <c r="J890" s="8"/>
    </row>
    <row r="891">
      <c r="A891" s="82"/>
      <c r="J891" s="8"/>
    </row>
    <row r="892">
      <c r="A892" s="82"/>
      <c r="J892" s="8"/>
    </row>
    <row r="893">
      <c r="A893" s="82"/>
      <c r="J893" s="8"/>
    </row>
    <row r="894">
      <c r="A894" s="82"/>
      <c r="J894" s="8"/>
    </row>
    <row r="895">
      <c r="A895" s="82"/>
      <c r="J895" s="8"/>
    </row>
    <row r="896">
      <c r="A896" s="82"/>
      <c r="J896" s="8"/>
    </row>
    <row r="897">
      <c r="A897" s="82"/>
      <c r="J897" s="8"/>
    </row>
    <row r="898">
      <c r="A898" s="82"/>
      <c r="J898" s="8"/>
    </row>
    <row r="899">
      <c r="A899" s="82"/>
      <c r="J899" s="8"/>
    </row>
    <row r="900">
      <c r="A900" s="82"/>
      <c r="J900" s="8"/>
    </row>
    <row r="901">
      <c r="A901" s="82"/>
      <c r="J901" s="8"/>
    </row>
    <row r="902">
      <c r="A902" s="82"/>
      <c r="J902" s="8"/>
    </row>
    <row r="903">
      <c r="A903" s="82"/>
      <c r="J903" s="8"/>
    </row>
    <row r="904">
      <c r="A904" s="82"/>
      <c r="J904" s="8"/>
    </row>
    <row r="905">
      <c r="A905" s="82"/>
      <c r="J905" s="8"/>
    </row>
    <row r="906">
      <c r="A906" s="82"/>
      <c r="J906" s="8"/>
    </row>
    <row r="907">
      <c r="A907" s="82"/>
      <c r="J907" s="8"/>
    </row>
    <row r="908">
      <c r="A908" s="82"/>
      <c r="J908" s="8"/>
    </row>
    <row r="909">
      <c r="A909" s="82"/>
      <c r="J909" s="8"/>
    </row>
    <row r="910">
      <c r="A910" s="82"/>
      <c r="J910" s="8"/>
    </row>
    <row r="911">
      <c r="A911" s="82"/>
      <c r="J911" s="8"/>
    </row>
    <row r="912">
      <c r="A912" s="82"/>
      <c r="J912" s="8"/>
    </row>
    <row r="913">
      <c r="A913" s="82"/>
      <c r="J913" s="8"/>
    </row>
    <row r="914">
      <c r="A914" s="82"/>
      <c r="J914" s="8"/>
    </row>
    <row r="915">
      <c r="A915" s="82"/>
      <c r="J915" s="8"/>
    </row>
    <row r="916">
      <c r="A916" s="82"/>
      <c r="J916" s="8"/>
    </row>
    <row r="917">
      <c r="A917" s="82"/>
      <c r="J917" s="8"/>
    </row>
    <row r="918">
      <c r="A918" s="82"/>
      <c r="J918" s="8"/>
    </row>
    <row r="919">
      <c r="A919" s="82"/>
      <c r="J919" s="8"/>
    </row>
    <row r="920">
      <c r="A920" s="82"/>
      <c r="J920" s="8"/>
    </row>
    <row r="921">
      <c r="A921" s="82"/>
      <c r="J921" s="8"/>
    </row>
    <row r="922">
      <c r="A922" s="82"/>
      <c r="J922" s="8"/>
    </row>
    <row r="923">
      <c r="A923" s="82"/>
      <c r="J923" s="8"/>
    </row>
    <row r="924">
      <c r="A924" s="82"/>
      <c r="J924" s="8"/>
    </row>
    <row r="925">
      <c r="A925" s="82"/>
      <c r="J925" s="8"/>
    </row>
    <row r="926">
      <c r="A926" s="82"/>
      <c r="J926" s="8"/>
    </row>
    <row r="927">
      <c r="A927" s="82"/>
      <c r="J927" s="8"/>
    </row>
    <row r="928">
      <c r="A928" s="82"/>
      <c r="J928" s="8"/>
    </row>
    <row r="929">
      <c r="A929" s="82"/>
      <c r="J929" s="8"/>
    </row>
    <row r="930">
      <c r="A930" s="82"/>
      <c r="J930" s="8"/>
    </row>
    <row r="931">
      <c r="A931" s="82"/>
      <c r="J931" s="8"/>
    </row>
    <row r="932">
      <c r="A932" s="82"/>
      <c r="J932" s="8"/>
    </row>
    <row r="933">
      <c r="A933" s="82"/>
      <c r="J933" s="8"/>
    </row>
    <row r="934">
      <c r="A934" s="82"/>
      <c r="J934" s="8"/>
    </row>
    <row r="935">
      <c r="A935" s="82"/>
      <c r="J935" s="8"/>
    </row>
    <row r="936">
      <c r="A936" s="82"/>
      <c r="J936" s="8"/>
    </row>
    <row r="937">
      <c r="A937" s="82"/>
      <c r="J937" s="8"/>
    </row>
    <row r="938">
      <c r="A938" s="82"/>
      <c r="J938" s="8"/>
    </row>
    <row r="939">
      <c r="A939" s="82"/>
      <c r="J939" s="8"/>
    </row>
    <row r="940">
      <c r="A940" s="82"/>
      <c r="J940" s="8"/>
    </row>
    <row r="941">
      <c r="A941" s="82"/>
      <c r="J941" s="8"/>
    </row>
    <row r="942">
      <c r="A942" s="82"/>
      <c r="J942" s="8"/>
    </row>
    <row r="943">
      <c r="A943" s="82"/>
      <c r="J943" s="8"/>
    </row>
    <row r="944">
      <c r="A944" s="82"/>
      <c r="J944" s="8"/>
    </row>
    <row r="945">
      <c r="A945" s="82"/>
      <c r="J945" s="8"/>
    </row>
    <row r="946">
      <c r="A946" s="82"/>
      <c r="J946" s="8"/>
    </row>
    <row r="947">
      <c r="A947" s="82"/>
      <c r="J947" s="8"/>
    </row>
    <row r="948">
      <c r="A948" s="82"/>
      <c r="J948" s="8"/>
    </row>
    <row r="949">
      <c r="A949" s="82"/>
      <c r="J949" s="8"/>
    </row>
    <row r="950">
      <c r="A950" s="82"/>
      <c r="J950" s="8"/>
    </row>
    <row r="951">
      <c r="A951" s="82"/>
      <c r="J951" s="8"/>
    </row>
    <row r="952">
      <c r="A952" s="82"/>
      <c r="J952" s="8"/>
    </row>
    <row r="953">
      <c r="A953" s="82"/>
      <c r="J953" s="8"/>
    </row>
    <row r="954">
      <c r="A954" s="82"/>
      <c r="J954" s="8"/>
    </row>
    <row r="955">
      <c r="A955" s="82"/>
      <c r="J955" s="8"/>
    </row>
    <row r="956">
      <c r="A956" s="82"/>
      <c r="J956" s="8"/>
    </row>
    <row r="957">
      <c r="A957" s="82"/>
      <c r="J957" s="8"/>
    </row>
    <row r="958">
      <c r="A958" s="82"/>
      <c r="J958" s="8"/>
    </row>
    <row r="959">
      <c r="A959" s="82"/>
      <c r="J959" s="8"/>
    </row>
    <row r="960">
      <c r="A960" s="82"/>
      <c r="J960" s="8"/>
    </row>
    <row r="961">
      <c r="A961" s="82"/>
      <c r="J961" s="8"/>
    </row>
  </sheetData>
  <dataValidations>
    <dataValidation type="list" allowBlank="1" sqref="G4:G46">
      <formula1>#REF!</formula1>
    </dataValidation>
    <dataValidation type="custom" allowBlank="1" showDropDown="1" sqref="B4:F46">
      <formula1>AND(ISNUMBER(B4),(NOT(OR(NOT(ISERROR(DATEVALUE(B4))), AND(ISNUMBER(B4), LEFT(CELL("format", B4))="D")))))</formula1>
    </dataValidation>
    <dataValidation type="list" allowBlank="1" showErrorMessage="1" sqref="B49:B55 F49:F58 F62:F64">
      <formula1>Cuentas!$A$2:$A$29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22.38"/>
    <col customWidth="1" min="4" max="4" width="19.5"/>
    <col customWidth="1" min="5" max="5" width="21.88"/>
  </cols>
  <sheetData>
    <row r="1" ht="22.5" customHeight="1">
      <c r="A1" s="85" t="s">
        <v>158</v>
      </c>
      <c r="B1" s="86" t="s">
        <v>159</v>
      </c>
      <c r="C1" s="59" t="s">
        <v>160</v>
      </c>
      <c r="D1" s="59" t="s">
        <v>161</v>
      </c>
      <c r="E1" s="59" t="s">
        <v>89</v>
      </c>
      <c r="J1" s="2" t="s">
        <v>162</v>
      </c>
    </row>
    <row r="2" ht="19.5" customHeight="1">
      <c r="A2" s="87" t="s">
        <v>18</v>
      </c>
      <c r="B2" s="88" t="s">
        <v>163</v>
      </c>
      <c r="C2" s="89" t="s">
        <v>164</v>
      </c>
      <c r="D2" s="63">
        <v>4.069061398E9</v>
      </c>
      <c r="E2" s="90" t="s">
        <v>165</v>
      </c>
      <c r="J2" s="2" t="s">
        <v>48</v>
      </c>
    </row>
    <row r="3" ht="22.5" customHeight="1">
      <c r="A3" s="87" t="s">
        <v>166</v>
      </c>
      <c r="B3" s="88" t="s">
        <v>163</v>
      </c>
      <c r="C3" s="89" t="s">
        <v>167</v>
      </c>
      <c r="D3" s="63">
        <v>6.056705965E10</v>
      </c>
      <c r="E3" s="91" t="s">
        <v>168</v>
      </c>
      <c r="J3" s="2" t="s">
        <v>163</v>
      </c>
    </row>
    <row r="4" ht="22.5" customHeight="1">
      <c r="A4" s="87" t="s">
        <v>169</v>
      </c>
      <c r="B4" s="88" t="s">
        <v>163</v>
      </c>
      <c r="C4" s="89" t="s">
        <v>170</v>
      </c>
      <c r="D4" s="63">
        <v>1.537717736E9</v>
      </c>
      <c r="E4" s="90" t="s">
        <v>171</v>
      </c>
      <c r="J4" s="2" t="s">
        <v>172</v>
      </c>
    </row>
    <row r="5" ht="22.5" customHeight="1">
      <c r="A5" s="87" t="s">
        <v>87</v>
      </c>
      <c r="B5" s="88" t="s">
        <v>163</v>
      </c>
      <c r="C5" s="89" t="s">
        <v>173</v>
      </c>
      <c r="E5" s="90" t="s">
        <v>174</v>
      </c>
      <c r="J5" s="2" t="s">
        <v>175</v>
      </c>
    </row>
    <row r="6" ht="22.5" customHeight="1">
      <c r="A6" s="87" t="s">
        <v>176</v>
      </c>
      <c r="B6" s="88" t="s">
        <v>163</v>
      </c>
      <c r="C6" s="89" t="s">
        <v>177</v>
      </c>
      <c r="D6" s="63">
        <v>1.7740419E7</v>
      </c>
      <c r="E6" s="90" t="s">
        <v>178</v>
      </c>
      <c r="J6" s="2" t="s">
        <v>179</v>
      </c>
    </row>
    <row r="7" ht="22.5" customHeight="1">
      <c r="A7" s="87" t="s">
        <v>180</v>
      </c>
      <c r="B7" s="88" t="s">
        <v>163</v>
      </c>
      <c r="C7" s="89" t="s">
        <v>181</v>
      </c>
      <c r="E7" s="90" t="s">
        <v>182</v>
      </c>
    </row>
    <row r="8" ht="22.5" customHeight="1">
      <c r="A8" s="87" t="s">
        <v>183</v>
      </c>
      <c r="B8" s="88" t="s">
        <v>172</v>
      </c>
      <c r="C8" s="89" t="s">
        <v>184</v>
      </c>
      <c r="E8" s="90" t="s">
        <v>185</v>
      </c>
    </row>
    <row r="9" ht="22.5" customHeight="1">
      <c r="A9" s="87" t="s">
        <v>50</v>
      </c>
      <c r="B9" s="88" t="s">
        <v>172</v>
      </c>
      <c r="C9" s="89" t="s">
        <v>186</v>
      </c>
      <c r="E9" s="90" t="s">
        <v>187</v>
      </c>
      <c r="J9" s="2" t="s">
        <v>188</v>
      </c>
    </row>
    <row r="10" ht="22.5" customHeight="1">
      <c r="A10" s="87" t="s">
        <v>52</v>
      </c>
      <c r="B10" s="88" t="s">
        <v>172</v>
      </c>
      <c r="C10" s="89" t="s">
        <v>189</v>
      </c>
      <c r="E10" s="90" t="s">
        <v>190</v>
      </c>
      <c r="J10" s="2" t="s">
        <v>191</v>
      </c>
    </row>
    <row r="11" ht="22.5" customHeight="1">
      <c r="A11" s="87" t="s">
        <v>143</v>
      </c>
      <c r="B11" s="88" t="s">
        <v>179</v>
      </c>
      <c r="C11" s="89" t="s">
        <v>192</v>
      </c>
      <c r="D11" s="90" t="s">
        <v>193</v>
      </c>
      <c r="E11" s="92"/>
      <c r="J11" s="2" t="s">
        <v>194</v>
      </c>
    </row>
    <row r="12" ht="22.5" customHeight="1">
      <c r="A12" s="93" t="s">
        <v>139</v>
      </c>
      <c r="B12" s="94" t="s">
        <v>179</v>
      </c>
      <c r="C12" s="89" t="s">
        <v>195</v>
      </c>
      <c r="D12" s="95"/>
      <c r="E12" s="96" t="s">
        <v>196</v>
      </c>
      <c r="J12" s="2" t="s">
        <v>197</v>
      </c>
    </row>
    <row r="13" ht="22.5" customHeight="1">
      <c r="A13" s="87" t="s">
        <v>44</v>
      </c>
      <c r="B13" s="88" t="s">
        <v>175</v>
      </c>
      <c r="C13" s="89" t="s">
        <v>198</v>
      </c>
      <c r="D13" s="90" t="s">
        <v>199</v>
      </c>
      <c r="E13" s="90" t="s">
        <v>200</v>
      </c>
      <c r="J13" s="2" t="s">
        <v>201</v>
      </c>
    </row>
    <row r="14" ht="22.5" customHeight="1">
      <c r="A14" s="87" t="s">
        <v>202</v>
      </c>
      <c r="B14" s="88" t="s">
        <v>175</v>
      </c>
      <c r="C14" s="89" t="s">
        <v>203</v>
      </c>
      <c r="D14" s="90" t="s">
        <v>204</v>
      </c>
      <c r="E14" s="90" t="s">
        <v>205</v>
      </c>
      <c r="J14" s="2" t="s">
        <v>206</v>
      </c>
    </row>
    <row r="15" ht="22.5" customHeight="1">
      <c r="A15" s="93" t="s">
        <v>121</v>
      </c>
      <c r="B15" s="94" t="s">
        <v>175</v>
      </c>
      <c r="C15" s="89" t="s">
        <v>207</v>
      </c>
      <c r="D15" s="95"/>
      <c r="E15" s="96" t="s">
        <v>208</v>
      </c>
      <c r="J15" s="2" t="s">
        <v>209</v>
      </c>
    </row>
    <row r="16" ht="22.5" customHeight="1">
      <c r="A16" s="87" t="s">
        <v>147</v>
      </c>
      <c r="B16" s="88" t="s">
        <v>175</v>
      </c>
      <c r="C16" s="89" t="s">
        <v>210</v>
      </c>
      <c r="D16" s="90" t="s">
        <v>211</v>
      </c>
      <c r="E16" s="90" t="s">
        <v>212</v>
      </c>
      <c r="J16" s="2" t="s">
        <v>213</v>
      </c>
    </row>
    <row r="17" ht="22.5" customHeight="1">
      <c r="A17" s="93" t="s">
        <v>145</v>
      </c>
      <c r="B17" s="94" t="s">
        <v>175</v>
      </c>
      <c r="C17" s="89" t="s">
        <v>210</v>
      </c>
      <c r="D17" s="95"/>
      <c r="E17" s="96"/>
      <c r="J17" s="2" t="s">
        <v>54</v>
      </c>
    </row>
    <row r="18" ht="22.5" customHeight="1">
      <c r="A18" s="87" t="s">
        <v>214</v>
      </c>
      <c r="B18" s="88" t="s">
        <v>175</v>
      </c>
      <c r="C18" s="89" t="s">
        <v>215</v>
      </c>
      <c r="D18" s="90" t="s">
        <v>216</v>
      </c>
      <c r="E18" s="90" t="s">
        <v>217</v>
      </c>
      <c r="J18" s="2" t="s">
        <v>218</v>
      </c>
    </row>
    <row r="19" ht="22.5" customHeight="1">
      <c r="A19" s="87" t="s">
        <v>141</v>
      </c>
      <c r="B19" s="88" t="s">
        <v>175</v>
      </c>
      <c r="C19" s="89" t="s">
        <v>192</v>
      </c>
      <c r="D19" s="90" t="s">
        <v>219</v>
      </c>
      <c r="E19" s="90" t="s">
        <v>220</v>
      </c>
    </row>
    <row r="20" ht="22.5" customHeight="1">
      <c r="A20" s="87" t="s">
        <v>13</v>
      </c>
      <c r="B20" s="88" t="s">
        <v>175</v>
      </c>
      <c r="C20" s="89" t="s">
        <v>221</v>
      </c>
      <c r="D20" s="89" t="s">
        <v>222</v>
      </c>
      <c r="E20" s="90" t="s">
        <v>223</v>
      </c>
    </row>
    <row r="21" ht="22.5" customHeight="1">
      <c r="A21" s="87" t="s">
        <v>110</v>
      </c>
      <c r="B21" s="88" t="s">
        <v>175</v>
      </c>
      <c r="C21" s="89" t="s">
        <v>224</v>
      </c>
      <c r="D21" s="89" t="s">
        <v>225</v>
      </c>
      <c r="E21" s="90"/>
    </row>
    <row r="22" ht="22.5" customHeight="1">
      <c r="A22" s="87" t="s">
        <v>33</v>
      </c>
      <c r="B22" s="88" t="s">
        <v>175</v>
      </c>
      <c r="C22" s="89" t="s">
        <v>226</v>
      </c>
      <c r="D22" s="90" t="s">
        <v>227</v>
      </c>
      <c r="E22" s="90" t="s">
        <v>200</v>
      </c>
    </row>
    <row r="23" ht="22.5" customHeight="1">
      <c r="A23" s="87" t="s">
        <v>66</v>
      </c>
      <c r="B23" s="88" t="s">
        <v>48</v>
      </c>
      <c r="C23" s="89" t="s">
        <v>228</v>
      </c>
      <c r="D23" s="63"/>
      <c r="E23" s="90" t="s">
        <v>229</v>
      </c>
    </row>
    <row r="24" ht="22.5" customHeight="1">
      <c r="A24" s="87" t="s">
        <v>56</v>
      </c>
      <c r="B24" s="88" t="s">
        <v>48</v>
      </c>
      <c r="C24" s="89" t="s">
        <v>230</v>
      </c>
      <c r="D24" s="63">
        <v>1.7740419E7</v>
      </c>
      <c r="E24" s="90" t="s">
        <v>178</v>
      </c>
    </row>
    <row r="25" ht="22.5" customHeight="1">
      <c r="A25" s="87" t="s">
        <v>31</v>
      </c>
      <c r="B25" s="88" t="s">
        <v>48</v>
      </c>
      <c r="C25" s="89" t="s">
        <v>231</v>
      </c>
      <c r="D25" s="63">
        <v>1.7740419E7</v>
      </c>
      <c r="E25" s="90" t="s">
        <v>178</v>
      </c>
    </row>
    <row r="26" ht="22.5" customHeight="1">
      <c r="A26" s="87" t="s">
        <v>45</v>
      </c>
      <c r="B26" s="88" t="s">
        <v>48</v>
      </c>
      <c r="C26" s="89" t="s">
        <v>232</v>
      </c>
      <c r="D26" s="63">
        <v>1.7740419E7</v>
      </c>
      <c r="E26" s="90" t="s">
        <v>178</v>
      </c>
    </row>
    <row r="27" ht="22.5" customHeight="1">
      <c r="A27" s="87" t="s">
        <v>14</v>
      </c>
      <c r="B27" s="88" t="s">
        <v>48</v>
      </c>
      <c r="C27" s="89" t="s">
        <v>233</v>
      </c>
      <c r="E27" s="90" t="s">
        <v>234</v>
      </c>
    </row>
    <row r="28" ht="22.5" customHeight="1">
      <c r="A28" s="87" t="s">
        <v>22</v>
      </c>
      <c r="B28" s="88" t="s">
        <v>48</v>
      </c>
      <c r="C28" s="89" t="s">
        <v>235</v>
      </c>
      <c r="E28" s="90" t="s">
        <v>182</v>
      </c>
    </row>
    <row r="29">
      <c r="B29" s="9"/>
    </row>
  </sheetData>
  <dataValidations>
    <dataValidation type="list" allowBlank="1" sqref="B2:B28">
      <formula1>#REF!</formula1>
    </dataValidation>
    <dataValidation allowBlank="1" showDropDown="1" sqref="C2:C28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2" t="s">
        <v>236</v>
      </c>
      <c r="B1" s="2"/>
      <c r="C1" s="2"/>
    </row>
    <row r="2">
      <c r="A2" s="2" t="s">
        <v>237</v>
      </c>
      <c r="B2" s="2" t="s">
        <v>238</v>
      </c>
      <c r="C2" s="2" t="s">
        <v>239</v>
      </c>
    </row>
    <row r="3">
      <c r="A3" s="97" t="s">
        <v>240</v>
      </c>
      <c r="B3" s="7">
        <v>27121.12</v>
      </c>
      <c r="C3" s="77" t="s">
        <v>241</v>
      </c>
    </row>
    <row r="4">
      <c r="A4" s="97" t="s">
        <v>242</v>
      </c>
      <c r="B4" s="7">
        <v>13536.0</v>
      </c>
      <c r="C4" s="77" t="s">
        <v>241</v>
      </c>
    </row>
    <row r="5">
      <c r="A5" s="97" t="s">
        <v>243</v>
      </c>
      <c r="B5" s="98">
        <v>2241.25</v>
      </c>
      <c r="C5" s="77" t="s">
        <v>241</v>
      </c>
    </row>
    <row r="6">
      <c r="A6" s="97" t="s">
        <v>244</v>
      </c>
      <c r="B6" s="98">
        <v>1816.0</v>
      </c>
      <c r="C6" s="77" t="s">
        <v>241</v>
      </c>
    </row>
    <row r="7">
      <c r="A7" s="97" t="s">
        <v>244</v>
      </c>
      <c r="B7" s="98">
        <v>1704.0</v>
      </c>
      <c r="C7" s="77" t="s">
        <v>241</v>
      </c>
    </row>
    <row r="8">
      <c r="A8" s="97" t="s">
        <v>245</v>
      </c>
      <c r="B8" s="98">
        <v>1500.0</v>
      </c>
      <c r="C8" s="77" t="s">
        <v>241</v>
      </c>
    </row>
    <row r="9">
      <c r="A9" s="97" t="s">
        <v>246</v>
      </c>
      <c r="B9" s="98">
        <v>604.0</v>
      </c>
      <c r="C9" s="77" t="s">
        <v>241</v>
      </c>
    </row>
    <row r="10">
      <c r="A10" s="97" t="s">
        <v>247</v>
      </c>
      <c r="B10" s="98">
        <v>558.0</v>
      </c>
      <c r="C10" s="77" t="s">
        <v>241</v>
      </c>
    </row>
    <row r="11">
      <c r="A11" s="97" t="s">
        <v>248</v>
      </c>
      <c r="B11" s="98">
        <v>320.97</v>
      </c>
      <c r="C11" s="77" t="s">
        <v>241</v>
      </c>
    </row>
    <row r="12">
      <c r="A12" s="97" t="s">
        <v>249</v>
      </c>
      <c r="B12" s="98">
        <v>282.58</v>
      </c>
      <c r="C12" s="77" t="s">
        <v>241</v>
      </c>
    </row>
    <row r="13">
      <c r="A13" s="97" t="s">
        <v>250</v>
      </c>
      <c r="B13" s="98">
        <v>228.0</v>
      </c>
      <c r="C13" s="77" t="s">
        <v>241</v>
      </c>
    </row>
    <row r="14">
      <c r="A14" s="97" t="s">
        <v>251</v>
      </c>
      <c r="B14" s="98">
        <v>150.85</v>
      </c>
      <c r="C14" s="77" t="s">
        <v>241</v>
      </c>
    </row>
    <row r="15">
      <c r="A15" s="97" t="s">
        <v>251</v>
      </c>
      <c r="B15" s="98">
        <v>148.41</v>
      </c>
      <c r="C15" s="77" t="s">
        <v>241</v>
      </c>
    </row>
    <row r="16">
      <c r="A16" s="97" t="s">
        <v>252</v>
      </c>
      <c r="B16" s="98">
        <f>3420.5+382.88</f>
        <v>3803.38</v>
      </c>
      <c r="C16" s="77" t="s">
        <v>241</v>
      </c>
    </row>
    <row r="26">
      <c r="B26" s="8">
        <f>SUM(B3:B20)</f>
        <v>54014.56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2" t="s">
        <v>253</v>
      </c>
      <c r="B1" s="8"/>
      <c r="C1" s="2" t="s">
        <v>239</v>
      </c>
      <c r="D1" s="2" t="s">
        <v>254</v>
      </c>
      <c r="F1" s="2" t="s">
        <v>120</v>
      </c>
      <c r="H1" s="2" t="s">
        <v>239</v>
      </c>
    </row>
    <row r="2">
      <c r="A2" s="2" t="s">
        <v>98</v>
      </c>
      <c r="B2" s="8"/>
      <c r="C2" s="2" t="b">
        <v>1</v>
      </c>
      <c r="F2" s="77" t="s">
        <v>255</v>
      </c>
      <c r="G2" s="98">
        <f>9959+255</f>
        <v>10214</v>
      </c>
      <c r="H2" s="2" t="b">
        <v>1</v>
      </c>
    </row>
    <row r="3">
      <c r="A3" s="2" t="s">
        <v>256</v>
      </c>
      <c r="B3" s="7">
        <v>672.7</v>
      </c>
      <c r="C3" s="2" t="b">
        <v>0</v>
      </c>
      <c r="F3" s="77" t="s">
        <v>257</v>
      </c>
      <c r="G3" s="98">
        <v>1200.0</v>
      </c>
      <c r="H3" s="2" t="b">
        <v>1</v>
      </c>
    </row>
    <row r="4">
      <c r="A4" s="2" t="s">
        <v>258</v>
      </c>
      <c r="B4" s="7">
        <v>241.96</v>
      </c>
      <c r="C4" s="2" t="b">
        <v>0</v>
      </c>
      <c r="F4" s="77" t="s">
        <v>120</v>
      </c>
      <c r="G4" s="98">
        <v>3891.5</v>
      </c>
      <c r="H4" s="2" t="b">
        <v>1</v>
      </c>
    </row>
    <row r="5">
      <c r="A5" s="2" t="s">
        <v>258</v>
      </c>
      <c r="B5" s="7">
        <v>25.66</v>
      </c>
      <c r="C5" s="2" t="b">
        <v>0</v>
      </c>
      <c r="F5" s="77" t="s">
        <v>259</v>
      </c>
      <c r="G5" s="98">
        <v>3191.3</v>
      </c>
      <c r="H5" s="2" t="b">
        <v>1</v>
      </c>
    </row>
    <row r="6">
      <c r="A6" s="2" t="s">
        <v>260</v>
      </c>
      <c r="B6" s="7">
        <v>127.0</v>
      </c>
      <c r="C6" s="2" t="b">
        <v>0</v>
      </c>
      <c r="F6" s="77" t="s">
        <v>261</v>
      </c>
      <c r="G6" s="98">
        <v>600.0</v>
      </c>
      <c r="H6" s="2" t="b">
        <v>1</v>
      </c>
    </row>
    <row r="7">
      <c r="B7" s="8"/>
      <c r="F7" s="77" t="s">
        <v>262</v>
      </c>
      <c r="G7" s="98">
        <v>2422.1</v>
      </c>
      <c r="H7" s="2" t="b">
        <v>1</v>
      </c>
    </row>
    <row r="8">
      <c r="B8" s="8"/>
      <c r="F8" s="77" t="s">
        <v>263</v>
      </c>
      <c r="G8" s="98">
        <v>165.0</v>
      </c>
      <c r="H8" s="2" t="b">
        <v>1</v>
      </c>
    </row>
    <row r="9">
      <c r="B9" s="8"/>
      <c r="F9" s="77" t="s">
        <v>264</v>
      </c>
      <c r="G9" s="98">
        <v>6464.75</v>
      </c>
      <c r="H9" s="2" t="b">
        <v>1</v>
      </c>
    </row>
    <row r="10">
      <c r="B10" s="8"/>
      <c r="F10" s="77" t="s">
        <v>265</v>
      </c>
      <c r="G10" s="98">
        <v>2012.65</v>
      </c>
      <c r="H10" s="2" t="b">
        <v>1</v>
      </c>
    </row>
    <row r="11">
      <c r="B11" s="8"/>
      <c r="G11" s="8"/>
      <c r="H11" s="23" t="b">
        <v>0</v>
      </c>
    </row>
    <row r="12">
      <c r="B12" s="8"/>
      <c r="G12" s="8"/>
      <c r="H12" s="23" t="b">
        <v>0</v>
      </c>
    </row>
    <row r="13">
      <c r="B13" s="8"/>
      <c r="G13" s="8"/>
      <c r="H13" s="23" t="b">
        <v>0</v>
      </c>
    </row>
    <row r="14">
      <c r="B14" s="8"/>
      <c r="G14" s="8"/>
      <c r="H14" s="23" t="b">
        <v>0</v>
      </c>
    </row>
    <row r="15">
      <c r="B15" s="8"/>
      <c r="G15" s="8"/>
      <c r="H15" s="23" t="b">
        <v>0</v>
      </c>
    </row>
    <row r="16">
      <c r="B16" s="8"/>
      <c r="G16" s="8"/>
      <c r="H16" s="23" t="b">
        <v>0</v>
      </c>
    </row>
    <row r="17">
      <c r="B17" s="8"/>
      <c r="G17" s="8"/>
      <c r="H17" s="23" t="b">
        <v>0</v>
      </c>
    </row>
    <row r="18">
      <c r="B18" s="8"/>
      <c r="G18" s="8"/>
      <c r="H18" s="23" t="b">
        <v>0</v>
      </c>
    </row>
    <row r="19">
      <c r="B19" s="8"/>
      <c r="G19" s="8"/>
      <c r="H19" s="23" t="b">
        <v>0</v>
      </c>
    </row>
    <row r="20">
      <c r="B20" s="8"/>
      <c r="E20" s="2"/>
      <c r="G20" s="8"/>
      <c r="H20" s="23" t="b">
        <v>0</v>
      </c>
    </row>
    <row r="21">
      <c r="B21" s="8"/>
      <c r="G21" s="8"/>
      <c r="H21" s="23" t="b">
        <v>0</v>
      </c>
    </row>
    <row r="22">
      <c r="B22" s="8"/>
      <c r="G22" s="8"/>
      <c r="H22" s="23" t="b">
        <v>0</v>
      </c>
    </row>
    <row r="23">
      <c r="B23" s="8"/>
      <c r="G23" s="8"/>
      <c r="H23" s="23" t="b">
        <v>0</v>
      </c>
    </row>
    <row r="24">
      <c r="B24" s="8"/>
      <c r="G24" s="8"/>
      <c r="H24" s="23" t="b">
        <v>0</v>
      </c>
    </row>
    <row r="25">
      <c r="B25" s="8"/>
      <c r="G25" s="8"/>
      <c r="H25" s="23" t="b">
        <v>0</v>
      </c>
    </row>
    <row r="26">
      <c r="B26" s="8"/>
      <c r="G26" s="8"/>
      <c r="H26" s="23" t="b">
        <v>0</v>
      </c>
    </row>
    <row r="27">
      <c r="B27" s="8"/>
      <c r="G27" s="8"/>
      <c r="H27" s="23" t="b">
        <v>0</v>
      </c>
    </row>
    <row r="28">
      <c r="B28" s="8"/>
      <c r="G28" s="8"/>
      <c r="H28" s="23" t="b">
        <v>0</v>
      </c>
    </row>
    <row r="29">
      <c r="B29" s="8"/>
      <c r="G29" s="8"/>
      <c r="H29" s="23" t="b">
        <v>0</v>
      </c>
    </row>
    <row r="30">
      <c r="B30" s="8"/>
      <c r="G30" s="8"/>
      <c r="H30" s="23" t="b">
        <v>0</v>
      </c>
    </row>
    <row r="31">
      <c r="B31" s="8"/>
      <c r="G31" s="8"/>
      <c r="H31" s="23" t="b">
        <v>0</v>
      </c>
    </row>
    <row r="32">
      <c r="B32" s="8"/>
      <c r="G32" s="8"/>
      <c r="H32" s="23" t="b">
        <v>0</v>
      </c>
    </row>
    <row r="33">
      <c r="B33" s="8"/>
      <c r="G33" s="8"/>
      <c r="H33" s="23" t="b">
        <v>0</v>
      </c>
    </row>
    <row r="34">
      <c r="B34" s="8"/>
      <c r="G34" s="8"/>
      <c r="H34" s="23" t="b">
        <v>0</v>
      </c>
    </row>
    <row r="35">
      <c r="B35" s="8"/>
      <c r="G35" s="8"/>
      <c r="H35" s="23" t="b">
        <v>0</v>
      </c>
    </row>
    <row r="36">
      <c r="B36" s="8"/>
      <c r="G36" s="8"/>
      <c r="H36" s="23" t="b">
        <v>0</v>
      </c>
    </row>
    <row r="37">
      <c r="B37" s="8"/>
      <c r="G37" s="8"/>
      <c r="H37" s="23" t="b">
        <v>0</v>
      </c>
    </row>
    <row r="38">
      <c r="B38" s="8"/>
      <c r="G38" s="8"/>
      <c r="H38" s="23" t="b">
        <v>0</v>
      </c>
    </row>
    <row r="39">
      <c r="B39" s="8"/>
      <c r="G39" s="8"/>
      <c r="H39" s="23" t="b">
        <v>0</v>
      </c>
    </row>
    <row r="40">
      <c r="B40" s="8"/>
      <c r="G40" s="8"/>
      <c r="H40" s="23" t="b">
        <v>0</v>
      </c>
    </row>
    <row r="41">
      <c r="B41" s="8"/>
      <c r="G41" s="8"/>
      <c r="H41" s="23" t="b">
        <v>0</v>
      </c>
    </row>
    <row r="42">
      <c r="B42" s="8"/>
      <c r="G42" s="8"/>
      <c r="H42" s="23" t="b">
        <v>0</v>
      </c>
    </row>
    <row r="43">
      <c r="B43" s="8"/>
      <c r="G43" s="8"/>
      <c r="H43" s="23" t="b">
        <v>0</v>
      </c>
    </row>
    <row r="44" ht="17.25" customHeight="1">
      <c r="B44" s="8"/>
      <c r="G44" s="8"/>
    </row>
    <row r="45" ht="17.25" customHeight="1">
      <c r="B45" s="8"/>
      <c r="G45" s="8"/>
    </row>
    <row r="46" ht="17.25" customHeight="1">
      <c r="B46" s="8"/>
      <c r="G46" s="8"/>
    </row>
    <row r="47" ht="17.25" customHeight="1">
      <c r="B47" s="8"/>
      <c r="G47" s="8"/>
    </row>
    <row r="48" ht="26.25" customHeight="1">
      <c r="B48" s="8"/>
      <c r="G48" s="8"/>
    </row>
    <row r="49">
      <c r="B49" s="8"/>
      <c r="G49" s="8"/>
    </row>
    <row r="50">
      <c r="B50" s="8"/>
      <c r="G50" s="8"/>
    </row>
    <row r="51">
      <c r="B51" s="8"/>
    </row>
    <row r="52">
      <c r="B52" s="8"/>
    </row>
    <row r="53">
      <c r="B53" s="8"/>
      <c r="G53" s="8"/>
    </row>
    <row r="54">
      <c r="B54" s="8"/>
      <c r="G54" s="8"/>
    </row>
    <row r="55">
      <c r="B55" s="8"/>
      <c r="G55" s="8"/>
    </row>
    <row r="56">
      <c r="B56" s="8"/>
      <c r="G56" s="8"/>
    </row>
    <row r="57">
      <c r="B57" s="8"/>
      <c r="G57" s="8"/>
    </row>
    <row r="58">
      <c r="B58" s="8"/>
      <c r="G58" s="8"/>
    </row>
    <row r="59">
      <c r="B59" s="8"/>
      <c r="G59" s="8"/>
    </row>
    <row r="60">
      <c r="B60" s="8"/>
      <c r="G60" s="8"/>
    </row>
    <row r="61">
      <c r="B61" s="8"/>
      <c r="G61" s="8"/>
    </row>
    <row r="62">
      <c r="B62" s="8"/>
      <c r="G62" s="8"/>
    </row>
    <row r="63">
      <c r="B63" s="8"/>
      <c r="G63" s="8"/>
    </row>
    <row r="64">
      <c r="B64" s="8"/>
      <c r="G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  <c r="F78" s="2"/>
      <c r="G78" s="8"/>
    </row>
    <row r="79">
      <c r="B79" s="8"/>
      <c r="F79" s="2"/>
      <c r="G79" s="8"/>
    </row>
    <row r="80">
      <c r="B80" s="8"/>
      <c r="F80" s="2"/>
      <c r="G80" s="8"/>
    </row>
    <row r="81">
      <c r="B81" s="8"/>
      <c r="F81" s="2"/>
      <c r="G81" s="8"/>
    </row>
    <row r="82">
      <c r="B82" s="8"/>
      <c r="F82" s="2"/>
      <c r="G82" s="8"/>
    </row>
    <row r="83">
      <c r="B83" s="8"/>
      <c r="F83" s="2"/>
      <c r="G83" s="8"/>
    </row>
    <row r="84">
      <c r="B84" s="8"/>
      <c r="F84" s="2"/>
      <c r="G84" s="8"/>
    </row>
    <row r="85">
      <c r="B85" s="8"/>
      <c r="F85" s="2"/>
      <c r="G85" s="8"/>
    </row>
    <row r="86">
      <c r="B86" s="8"/>
      <c r="F86" s="2"/>
      <c r="G86" s="8"/>
    </row>
    <row r="87">
      <c r="B87" s="8"/>
      <c r="F87" s="2"/>
      <c r="G87" s="8"/>
    </row>
    <row r="88">
      <c r="B88" s="8"/>
      <c r="F88" s="2"/>
      <c r="G88" s="8"/>
    </row>
    <row r="89">
      <c r="B89" s="8"/>
      <c r="F89" s="2"/>
      <c r="G89" s="8"/>
    </row>
    <row r="90">
      <c r="B90" s="8"/>
      <c r="F90" s="2"/>
      <c r="G90" s="8"/>
    </row>
    <row r="91">
      <c r="B91" s="8"/>
      <c r="F91" s="2"/>
      <c r="G91" s="8"/>
    </row>
    <row r="92">
      <c r="A92" s="2"/>
      <c r="B92" s="8"/>
      <c r="F92" s="2"/>
      <c r="G92" s="8"/>
    </row>
    <row r="93">
      <c r="A93" s="2"/>
      <c r="B93" s="8"/>
      <c r="F93" s="2"/>
      <c r="G93" s="8"/>
    </row>
    <row r="94">
      <c r="A94" s="2"/>
      <c r="B94" s="8"/>
      <c r="F94" s="2"/>
      <c r="G94" s="8"/>
    </row>
    <row r="95">
      <c r="A95" s="2"/>
      <c r="B95" s="8"/>
      <c r="F95" s="2"/>
      <c r="G95" s="8"/>
    </row>
    <row r="96">
      <c r="A96" s="2" t="s">
        <v>96</v>
      </c>
      <c r="B96" s="8">
        <f>SUM(B2:B95)</f>
        <v>1067.32</v>
      </c>
      <c r="F96" s="2" t="s">
        <v>96</v>
      </c>
      <c r="G96" s="8">
        <f>SUM(G2:G49)</f>
        <v>30161.3</v>
      </c>
    </row>
    <row r="97">
      <c r="A97" s="2" t="s">
        <v>266</v>
      </c>
      <c r="B97" s="8">
        <f>SUMIF(C2:C95, false, B2:B95)</f>
        <v>1067.32</v>
      </c>
      <c r="F97" s="2" t="s">
        <v>266</v>
      </c>
      <c r="G97" s="8">
        <f>SUMIF(H2:H64, false, G2:G64)</f>
        <v>0</v>
      </c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A105" s="2" t="s">
        <v>267</v>
      </c>
      <c r="B105" s="8"/>
    </row>
    <row r="106">
      <c r="A106" s="2" t="s">
        <v>268</v>
      </c>
      <c r="B106" s="8"/>
      <c r="F106" s="2" t="s">
        <v>258</v>
      </c>
      <c r="G106" s="7">
        <v>321.69</v>
      </c>
      <c r="H106" s="2" t="b">
        <v>1</v>
      </c>
    </row>
    <row r="107">
      <c r="A107" s="2" t="s">
        <v>269</v>
      </c>
      <c r="B107" s="7">
        <v>3452.76</v>
      </c>
      <c r="C107" s="2" t="b">
        <v>1</v>
      </c>
      <c r="F107" s="2" t="s">
        <v>258</v>
      </c>
      <c r="G107" s="7">
        <v>30.0</v>
      </c>
      <c r="H107" s="2" t="b">
        <v>1</v>
      </c>
      <c r="J107" s="2" t="s">
        <v>270</v>
      </c>
      <c r="K107" s="7">
        <v>36.0</v>
      </c>
      <c r="L107" s="2" t="b">
        <v>1</v>
      </c>
      <c r="N107" s="2" t="s">
        <v>271</v>
      </c>
      <c r="O107" s="7">
        <v>184.0</v>
      </c>
      <c r="P107" s="2" t="b">
        <v>1</v>
      </c>
    </row>
    <row r="108">
      <c r="A108" s="2" t="s">
        <v>272</v>
      </c>
      <c r="B108" s="7">
        <f>576.56+60</f>
        <v>636.56</v>
      </c>
      <c r="C108" s="2" t="b">
        <v>0</v>
      </c>
      <c r="F108" s="2" t="s">
        <v>273</v>
      </c>
      <c r="G108" s="7">
        <v>602.17</v>
      </c>
      <c r="H108" s="2" t="b">
        <v>1</v>
      </c>
      <c r="J108" s="2" t="s">
        <v>274</v>
      </c>
      <c r="K108" s="7">
        <v>595.6</v>
      </c>
      <c r="L108" s="2" t="b">
        <v>1</v>
      </c>
      <c r="N108" s="2" t="s">
        <v>275</v>
      </c>
      <c r="O108" s="7">
        <v>100.0</v>
      </c>
      <c r="P108" s="2" t="b">
        <v>1</v>
      </c>
    </row>
    <row r="109">
      <c r="A109" s="2" t="s">
        <v>276</v>
      </c>
      <c r="B109" s="7">
        <v>157.0</v>
      </c>
      <c r="C109" s="2" t="b">
        <v>1</v>
      </c>
      <c r="F109" s="2" t="s">
        <v>277</v>
      </c>
      <c r="G109" s="7">
        <v>79.0</v>
      </c>
      <c r="H109" s="2" t="b">
        <v>1</v>
      </c>
      <c r="J109" s="2" t="s">
        <v>278</v>
      </c>
      <c r="K109" s="7">
        <v>274.0</v>
      </c>
      <c r="L109" s="2" t="b">
        <v>1</v>
      </c>
      <c r="N109" s="2" t="s">
        <v>279</v>
      </c>
      <c r="O109" s="7">
        <v>210.0</v>
      </c>
      <c r="P109" s="2" t="b">
        <v>1</v>
      </c>
    </row>
    <row r="110">
      <c r="A110" s="2" t="s">
        <v>280</v>
      </c>
      <c r="B110" s="7">
        <v>875.0</v>
      </c>
      <c r="C110" s="2" t="b">
        <v>1</v>
      </c>
      <c r="F110" s="2" t="s">
        <v>281</v>
      </c>
      <c r="G110" s="7">
        <v>586.3</v>
      </c>
      <c r="H110" s="2" t="b">
        <v>1</v>
      </c>
      <c r="J110" s="2" t="s">
        <v>282</v>
      </c>
      <c r="K110" s="7">
        <v>510.4</v>
      </c>
      <c r="L110" s="2" t="b">
        <v>1</v>
      </c>
      <c r="N110" s="2" t="s">
        <v>281</v>
      </c>
      <c r="O110" s="7">
        <v>577.5</v>
      </c>
      <c r="P110" s="2" t="b">
        <v>1</v>
      </c>
    </row>
    <row r="111">
      <c r="A111" s="2" t="s">
        <v>260</v>
      </c>
      <c r="B111" s="7">
        <v>78.0</v>
      </c>
      <c r="C111" s="2" t="b">
        <v>1</v>
      </c>
      <c r="F111" s="2" t="s">
        <v>283</v>
      </c>
      <c r="G111" s="7">
        <v>109.98</v>
      </c>
      <c r="H111" s="2" t="b">
        <v>1</v>
      </c>
      <c r="J111" s="2" t="s">
        <v>284</v>
      </c>
      <c r="K111" s="7">
        <v>125.0</v>
      </c>
      <c r="L111" s="2" t="b">
        <v>1</v>
      </c>
      <c r="N111" s="2" t="s">
        <v>285</v>
      </c>
      <c r="O111" s="7">
        <v>3224.3</v>
      </c>
      <c r="P111" s="2" t="b">
        <v>1</v>
      </c>
    </row>
    <row r="112">
      <c r="A112" s="2" t="s">
        <v>286</v>
      </c>
      <c r="B112" s="7">
        <v>234.28</v>
      </c>
      <c r="C112" s="2" t="b">
        <v>1</v>
      </c>
      <c r="F112" s="2" t="s">
        <v>256</v>
      </c>
      <c r="G112" s="7">
        <v>535.7</v>
      </c>
      <c r="H112" s="2" t="b">
        <v>1</v>
      </c>
      <c r="J112" s="2" t="s">
        <v>287</v>
      </c>
      <c r="K112" s="7">
        <v>67.0</v>
      </c>
      <c r="L112" s="2" t="b">
        <v>1</v>
      </c>
      <c r="N112" s="2" t="s">
        <v>288</v>
      </c>
      <c r="O112" s="7">
        <v>48.0</v>
      </c>
      <c r="P112" s="2" t="b">
        <v>1</v>
      </c>
    </row>
    <row r="113">
      <c r="A113" s="2" t="s">
        <v>289</v>
      </c>
      <c r="B113" s="7">
        <v>54.0</v>
      </c>
      <c r="C113" s="2" t="b">
        <v>1</v>
      </c>
      <c r="F113" s="2" t="s">
        <v>274</v>
      </c>
      <c r="G113" s="7">
        <v>351.0</v>
      </c>
      <c r="H113" s="2" t="b">
        <v>1</v>
      </c>
      <c r="J113" s="2" t="s">
        <v>288</v>
      </c>
      <c r="K113" s="7">
        <v>113.0</v>
      </c>
      <c r="L113" s="2" t="b">
        <v>1</v>
      </c>
      <c r="N113" s="2" t="s">
        <v>258</v>
      </c>
      <c r="O113" s="7">
        <v>50.0</v>
      </c>
      <c r="P113" s="2" t="b">
        <v>1</v>
      </c>
    </row>
    <row r="114">
      <c r="A114" s="2" t="s">
        <v>290</v>
      </c>
      <c r="B114" s="7">
        <v>400.0</v>
      </c>
      <c r="C114" s="2" t="b">
        <v>1</v>
      </c>
      <c r="F114" s="2" t="s">
        <v>291</v>
      </c>
      <c r="G114" s="7">
        <v>178.0</v>
      </c>
      <c r="H114" s="2" t="b">
        <v>1</v>
      </c>
      <c r="J114" s="2" t="s">
        <v>288</v>
      </c>
      <c r="K114" s="7">
        <v>106.0</v>
      </c>
      <c r="L114" s="2" t="b">
        <v>1</v>
      </c>
      <c r="N114" s="2" t="s">
        <v>258</v>
      </c>
      <c r="O114" s="7">
        <v>560.43</v>
      </c>
      <c r="P114" s="2" t="b">
        <v>1</v>
      </c>
    </row>
    <row r="115">
      <c r="A115" s="2" t="s">
        <v>283</v>
      </c>
      <c r="B115" s="7">
        <v>85.7</v>
      </c>
      <c r="C115" s="2" t="b">
        <v>1</v>
      </c>
      <c r="F115" s="2" t="s">
        <v>292</v>
      </c>
      <c r="G115" s="7">
        <v>579.0</v>
      </c>
      <c r="H115" s="2" t="b">
        <v>1</v>
      </c>
      <c r="J115" s="2" t="s">
        <v>285</v>
      </c>
      <c r="K115" s="7">
        <v>4043.73</v>
      </c>
      <c r="L115" s="2" t="b">
        <v>1</v>
      </c>
      <c r="N115" s="2" t="s">
        <v>288</v>
      </c>
      <c r="O115" s="7">
        <v>68.0</v>
      </c>
      <c r="P115" s="2" t="b">
        <v>1</v>
      </c>
    </row>
    <row r="116">
      <c r="A116" s="2" t="s">
        <v>246</v>
      </c>
      <c r="B116" s="7">
        <v>1810.0</v>
      </c>
      <c r="C116" s="2" t="b">
        <v>1</v>
      </c>
      <c r="F116" s="2" t="s">
        <v>293</v>
      </c>
      <c r="G116" s="7">
        <v>421.0</v>
      </c>
      <c r="H116" s="2" t="b">
        <v>1</v>
      </c>
      <c r="J116" s="2" t="s">
        <v>294</v>
      </c>
      <c r="K116" s="7">
        <v>120.0</v>
      </c>
      <c r="L116" s="2" t="b">
        <v>1</v>
      </c>
      <c r="N116" s="2" t="s">
        <v>295</v>
      </c>
      <c r="O116" s="7">
        <v>240.0</v>
      </c>
      <c r="P116" s="2" t="b">
        <v>1</v>
      </c>
    </row>
    <row r="117">
      <c r="A117" s="2" t="s">
        <v>296</v>
      </c>
      <c r="B117" s="7">
        <v>146.0</v>
      </c>
      <c r="C117" s="2" t="b">
        <v>1</v>
      </c>
      <c r="F117" s="2" t="s">
        <v>297</v>
      </c>
      <c r="G117" s="7">
        <v>254.0</v>
      </c>
      <c r="H117" s="2" t="b">
        <v>1</v>
      </c>
      <c r="J117" s="2" t="s">
        <v>294</v>
      </c>
      <c r="K117" s="7">
        <v>80.0</v>
      </c>
      <c r="L117" s="2" t="b">
        <v>1</v>
      </c>
      <c r="N117" s="2" t="s">
        <v>298</v>
      </c>
      <c r="O117" s="7">
        <v>71.0</v>
      </c>
      <c r="P117" s="2" t="b">
        <v>1</v>
      </c>
    </row>
    <row r="118">
      <c r="A118" s="2" t="s">
        <v>278</v>
      </c>
      <c r="B118" s="7">
        <v>212.0</v>
      </c>
      <c r="C118" s="2" t="b">
        <v>1</v>
      </c>
      <c r="F118" s="2" t="s">
        <v>260</v>
      </c>
      <c r="G118" s="7">
        <v>50.0</v>
      </c>
      <c r="H118" s="2" t="b">
        <v>1</v>
      </c>
      <c r="J118" s="2" t="s">
        <v>278</v>
      </c>
      <c r="K118" s="7">
        <v>186.0</v>
      </c>
      <c r="L118" s="2" t="b">
        <v>1</v>
      </c>
      <c r="N118" s="2" t="s">
        <v>274</v>
      </c>
      <c r="O118" s="7">
        <v>382.27</v>
      </c>
      <c r="P118" s="2" t="b">
        <v>1</v>
      </c>
    </row>
    <row r="119">
      <c r="A119" s="2" t="s">
        <v>299</v>
      </c>
      <c r="B119" s="7">
        <v>399.6</v>
      </c>
      <c r="C119" s="2" t="b">
        <v>1</v>
      </c>
      <c r="F119" s="2" t="s">
        <v>300</v>
      </c>
      <c r="G119" s="7">
        <v>85.0</v>
      </c>
      <c r="H119" s="2" t="b">
        <v>1</v>
      </c>
      <c r="J119" s="2" t="s">
        <v>301</v>
      </c>
      <c r="K119" s="7">
        <v>206.8</v>
      </c>
      <c r="L119" s="2" t="b">
        <v>1</v>
      </c>
      <c r="N119" s="2" t="s">
        <v>281</v>
      </c>
      <c r="O119" s="7">
        <v>479.6</v>
      </c>
      <c r="P119" s="2" t="b">
        <v>1</v>
      </c>
    </row>
    <row r="120">
      <c r="A120" s="2" t="s">
        <v>290</v>
      </c>
      <c r="B120" s="7">
        <v>50.0</v>
      </c>
      <c r="C120" s="2" t="b">
        <v>1</v>
      </c>
      <c r="F120" s="2" t="s">
        <v>260</v>
      </c>
      <c r="G120" s="7">
        <v>39.0</v>
      </c>
      <c r="H120" s="2" t="b">
        <v>1</v>
      </c>
      <c r="J120" s="2" t="s">
        <v>302</v>
      </c>
      <c r="K120" s="7">
        <v>300.0</v>
      </c>
      <c r="L120" s="2" t="b">
        <v>1</v>
      </c>
      <c r="N120" s="2" t="s">
        <v>303</v>
      </c>
      <c r="O120" s="7">
        <v>919.23</v>
      </c>
      <c r="P120" s="2" t="b">
        <v>1</v>
      </c>
    </row>
    <row r="121">
      <c r="A121" s="2" t="s">
        <v>304</v>
      </c>
      <c r="B121" s="7">
        <v>304.11</v>
      </c>
      <c r="C121" s="2" t="b">
        <v>1</v>
      </c>
      <c r="F121" s="2" t="s">
        <v>280</v>
      </c>
      <c r="G121" s="7">
        <v>461.0</v>
      </c>
      <c r="H121" s="2" t="b">
        <v>1</v>
      </c>
      <c r="J121" s="2" t="s">
        <v>305</v>
      </c>
      <c r="K121" s="7">
        <v>150.0</v>
      </c>
      <c r="L121" s="2" t="b">
        <v>1</v>
      </c>
      <c r="N121" s="2" t="s">
        <v>306</v>
      </c>
      <c r="O121" s="7">
        <v>294.8</v>
      </c>
      <c r="P121" s="2" t="b">
        <v>1</v>
      </c>
    </row>
    <row r="122">
      <c r="A122" s="2" t="s">
        <v>307</v>
      </c>
      <c r="B122" s="7">
        <v>24.24</v>
      </c>
      <c r="C122" s="2" t="b">
        <v>1</v>
      </c>
      <c r="F122" s="2" t="s">
        <v>285</v>
      </c>
      <c r="G122" s="7">
        <v>2223.97</v>
      </c>
      <c r="H122" s="2" t="b">
        <v>1</v>
      </c>
      <c r="J122" s="2" t="s">
        <v>282</v>
      </c>
      <c r="K122" s="7">
        <v>510.0</v>
      </c>
      <c r="L122" s="2" t="b">
        <v>1</v>
      </c>
      <c r="N122" s="2" t="s">
        <v>308</v>
      </c>
      <c r="O122" s="7">
        <v>391.0</v>
      </c>
      <c r="P122" s="2" t="b">
        <v>1</v>
      </c>
    </row>
    <row r="123">
      <c r="A123" s="2" t="s">
        <v>309</v>
      </c>
      <c r="B123" s="7">
        <v>305.71</v>
      </c>
      <c r="C123" s="2" t="b">
        <v>1</v>
      </c>
      <c r="F123" s="2" t="s">
        <v>310</v>
      </c>
      <c r="G123" s="7">
        <v>58.0</v>
      </c>
      <c r="H123" s="2" t="b">
        <v>1</v>
      </c>
      <c r="J123" s="2" t="s">
        <v>311</v>
      </c>
      <c r="K123" s="7">
        <v>896.5</v>
      </c>
      <c r="L123" s="2" t="b">
        <v>1</v>
      </c>
      <c r="N123" s="2" t="s">
        <v>258</v>
      </c>
      <c r="O123" s="7">
        <v>257.9</v>
      </c>
      <c r="P123" s="2" t="b">
        <v>1</v>
      </c>
    </row>
    <row r="124">
      <c r="A124" s="77" t="s">
        <v>311</v>
      </c>
      <c r="B124" s="8">
        <f>655+(655*10%)</f>
        <v>720.5</v>
      </c>
      <c r="C124" s="2" t="b">
        <v>1</v>
      </c>
      <c r="D124" s="2" t="s">
        <v>312</v>
      </c>
      <c r="F124" s="2" t="s">
        <v>313</v>
      </c>
      <c r="G124" s="7">
        <v>716.3</v>
      </c>
      <c r="H124" s="2" t="b">
        <v>1</v>
      </c>
      <c r="J124" s="2" t="s">
        <v>281</v>
      </c>
      <c r="K124" s="7">
        <v>531.3</v>
      </c>
      <c r="L124" s="2" t="b">
        <v>1</v>
      </c>
      <c r="N124" s="2" t="s">
        <v>314</v>
      </c>
      <c r="O124" s="7">
        <v>2451.87</v>
      </c>
      <c r="P124" s="2" t="b">
        <v>1</v>
      </c>
    </row>
    <row r="125">
      <c r="A125" s="2" t="s">
        <v>315</v>
      </c>
      <c r="B125" s="7">
        <v>114.0</v>
      </c>
      <c r="C125" s="2" t="b">
        <v>1</v>
      </c>
      <c r="F125" s="2" t="s">
        <v>316</v>
      </c>
      <c r="G125" s="7">
        <v>159.0</v>
      </c>
      <c r="H125" s="2" t="b">
        <v>1</v>
      </c>
      <c r="J125" s="2" t="s">
        <v>278</v>
      </c>
      <c r="K125" s="7">
        <v>262.0</v>
      </c>
      <c r="L125" s="2" t="b">
        <v>1</v>
      </c>
      <c r="N125" s="2" t="s">
        <v>295</v>
      </c>
      <c r="O125" s="7">
        <v>445.5</v>
      </c>
      <c r="P125" s="2" t="b">
        <v>1</v>
      </c>
    </row>
    <row r="126">
      <c r="A126" s="2" t="s">
        <v>287</v>
      </c>
      <c r="B126" s="7">
        <v>248.0</v>
      </c>
      <c r="C126" s="2" t="b">
        <v>1</v>
      </c>
      <c r="F126" s="2" t="s">
        <v>317</v>
      </c>
      <c r="G126" s="7">
        <v>840.0</v>
      </c>
      <c r="H126" s="2" t="b">
        <v>1</v>
      </c>
      <c r="J126" s="2" t="s">
        <v>318</v>
      </c>
      <c r="K126" s="7">
        <v>115.0</v>
      </c>
      <c r="L126" s="2" t="b">
        <v>1</v>
      </c>
      <c r="N126" s="2" t="s">
        <v>319</v>
      </c>
      <c r="O126" s="7">
        <v>192.0</v>
      </c>
      <c r="P126" s="2" t="b">
        <v>1</v>
      </c>
    </row>
    <row r="127">
      <c r="A127" s="2" t="s">
        <v>320</v>
      </c>
      <c r="B127" s="7">
        <v>1140.7</v>
      </c>
      <c r="C127" s="2" t="b">
        <v>1</v>
      </c>
      <c r="F127" s="2" t="s">
        <v>321</v>
      </c>
      <c r="G127" s="7">
        <v>240.0</v>
      </c>
      <c r="H127" s="2" t="b">
        <v>1</v>
      </c>
      <c r="J127" s="2" t="s">
        <v>322</v>
      </c>
      <c r="K127" s="7">
        <v>539.0</v>
      </c>
      <c r="L127" s="2" t="b">
        <v>1</v>
      </c>
      <c r="N127" s="2" t="s">
        <v>288</v>
      </c>
      <c r="O127" s="7">
        <v>58.0</v>
      </c>
      <c r="P127" s="2" t="b">
        <v>1</v>
      </c>
    </row>
    <row r="128">
      <c r="A128" s="2" t="s">
        <v>323</v>
      </c>
      <c r="B128" s="7">
        <v>736.32</v>
      </c>
      <c r="C128" s="2" t="b">
        <v>1</v>
      </c>
      <c r="F128" s="2" t="s">
        <v>324</v>
      </c>
      <c r="G128" s="7">
        <v>68.0</v>
      </c>
      <c r="H128" s="2" t="b">
        <v>1</v>
      </c>
      <c r="J128" s="2" t="s">
        <v>325</v>
      </c>
      <c r="K128" s="7">
        <v>322.0</v>
      </c>
      <c r="L128" s="2" t="b">
        <v>1</v>
      </c>
      <c r="N128" s="2" t="s">
        <v>285</v>
      </c>
      <c r="O128" s="7">
        <v>1679.16</v>
      </c>
      <c r="P128" s="2" t="b">
        <v>1</v>
      </c>
    </row>
    <row r="129">
      <c r="A129" s="2" t="s">
        <v>290</v>
      </c>
      <c r="B129" s="7">
        <v>50.0</v>
      </c>
      <c r="C129" s="2" t="b">
        <v>1</v>
      </c>
      <c r="F129" s="2" t="s">
        <v>324</v>
      </c>
      <c r="G129" s="7">
        <v>266.7</v>
      </c>
      <c r="H129" s="2" t="b">
        <v>1</v>
      </c>
      <c r="J129" s="2" t="s">
        <v>326</v>
      </c>
      <c r="K129" s="7">
        <v>457.74</v>
      </c>
      <c r="L129" s="2" t="b">
        <v>1</v>
      </c>
      <c r="N129" s="2" t="s">
        <v>282</v>
      </c>
      <c r="O129" s="7">
        <v>504.9</v>
      </c>
      <c r="P129" s="2" t="b">
        <v>1</v>
      </c>
    </row>
    <row r="130">
      <c r="A130" s="2" t="s">
        <v>274</v>
      </c>
      <c r="B130" s="7">
        <v>1763.92</v>
      </c>
      <c r="C130" s="2" t="b">
        <v>1</v>
      </c>
      <c r="F130" s="2" t="s">
        <v>327</v>
      </c>
      <c r="G130" s="7">
        <v>224.0</v>
      </c>
      <c r="H130" s="2" t="b">
        <v>1</v>
      </c>
      <c r="J130" s="2" t="s">
        <v>328</v>
      </c>
      <c r="K130" s="7">
        <v>130.0</v>
      </c>
      <c r="L130" s="2" t="b">
        <v>1</v>
      </c>
      <c r="N130" s="2" t="s">
        <v>275</v>
      </c>
      <c r="O130" s="7">
        <v>100.0</v>
      </c>
      <c r="P130" s="2" t="b">
        <v>1</v>
      </c>
    </row>
    <row r="131">
      <c r="A131" s="2" t="s">
        <v>306</v>
      </c>
      <c r="B131" s="7">
        <v>287.1</v>
      </c>
      <c r="C131" s="2" t="b">
        <v>1</v>
      </c>
      <c r="F131" s="2" t="s">
        <v>329</v>
      </c>
      <c r="G131" s="7">
        <v>145.0</v>
      </c>
      <c r="H131" s="2" t="b">
        <v>1</v>
      </c>
      <c r="J131" s="2" t="s">
        <v>285</v>
      </c>
      <c r="K131" s="7">
        <v>139.0</v>
      </c>
      <c r="L131" s="2" t="b">
        <v>1</v>
      </c>
      <c r="N131" s="2" t="s">
        <v>288</v>
      </c>
      <c r="O131" s="7">
        <v>75.0</v>
      </c>
      <c r="P131" s="2" t="b">
        <v>1</v>
      </c>
    </row>
    <row r="132">
      <c r="A132" s="2" t="s">
        <v>258</v>
      </c>
      <c r="B132" s="7">
        <f>668.83+37.14</f>
        <v>705.97</v>
      </c>
      <c r="C132" s="2" t="b">
        <v>1</v>
      </c>
      <c r="F132" s="2" t="s">
        <v>260</v>
      </c>
      <c r="G132" s="7">
        <v>90.0</v>
      </c>
      <c r="H132" s="2" t="b">
        <v>1</v>
      </c>
      <c r="J132" s="2" t="s">
        <v>314</v>
      </c>
      <c r="K132" s="7">
        <v>2097.31</v>
      </c>
      <c r="L132" s="2" t="b">
        <v>1</v>
      </c>
      <c r="N132" s="2" t="s">
        <v>295</v>
      </c>
      <c r="O132" s="7">
        <v>220.0</v>
      </c>
      <c r="P132" s="2" t="b">
        <v>1</v>
      </c>
    </row>
    <row r="133">
      <c r="A133" s="2" t="s">
        <v>330</v>
      </c>
      <c r="B133" s="7">
        <v>291.0</v>
      </c>
      <c r="C133" s="2" t="b">
        <v>1</v>
      </c>
      <c r="F133" s="2" t="s">
        <v>331</v>
      </c>
      <c r="G133" s="7">
        <v>81.0</v>
      </c>
      <c r="H133" s="2" t="b">
        <v>1</v>
      </c>
      <c r="J133" s="2" t="s">
        <v>258</v>
      </c>
      <c r="K133" s="7">
        <v>508.81</v>
      </c>
      <c r="L133" s="2" t="b">
        <v>1</v>
      </c>
      <c r="N133" s="2" t="s">
        <v>319</v>
      </c>
      <c r="O133" s="7">
        <v>299.0</v>
      </c>
      <c r="P133" s="2" t="b">
        <v>1</v>
      </c>
    </row>
    <row r="134">
      <c r="A134" s="2" t="s">
        <v>332</v>
      </c>
      <c r="B134" s="7">
        <v>287.1</v>
      </c>
      <c r="C134" s="2" t="b">
        <v>1</v>
      </c>
      <c r="F134" s="2" t="s">
        <v>333</v>
      </c>
      <c r="G134" s="7">
        <v>308.7</v>
      </c>
      <c r="H134" s="2" t="b">
        <v>1</v>
      </c>
      <c r="J134" s="2" t="s">
        <v>334</v>
      </c>
      <c r="K134" s="7">
        <v>10.62</v>
      </c>
      <c r="L134" s="2" t="b">
        <v>1</v>
      </c>
      <c r="N134" s="2" t="s">
        <v>258</v>
      </c>
      <c r="O134" s="7">
        <v>668.33</v>
      </c>
      <c r="P134" s="2" t="b">
        <v>1</v>
      </c>
    </row>
    <row r="135">
      <c r="A135" s="2" t="s">
        <v>296</v>
      </c>
      <c r="B135" s="7">
        <v>162.5</v>
      </c>
      <c r="C135" s="2" t="b">
        <v>1</v>
      </c>
      <c r="F135" s="2" t="s">
        <v>260</v>
      </c>
      <c r="G135" s="7">
        <v>52.0</v>
      </c>
      <c r="H135" s="2" t="b">
        <v>1</v>
      </c>
      <c r="J135" s="2" t="s">
        <v>335</v>
      </c>
      <c r="K135" s="7">
        <v>512.0</v>
      </c>
      <c r="L135" s="2" t="b">
        <v>1</v>
      </c>
      <c r="N135" s="2" t="s">
        <v>283</v>
      </c>
      <c r="O135" s="7">
        <v>109.99</v>
      </c>
      <c r="P135" s="2" t="b">
        <v>1</v>
      </c>
    </row>
    <row r="136">
      <c r="A136" s="2" t="s">
        <v>274</v>
      </c>
      <c r="B136" s="7">
        <v>1077.71</v>
      </c>
      <c r="C136" s="2" t="b">
        <v>1</v>
      </c>
      <c r="F136" s="2" t="s">
        <v>336</v>
      </c>
      <c r="G136" s="7">
        <v>618.2</v>
      </c>
      <c r="H136" s="2" t="b">
        <v>1</v>
      </c>
      <c r="J136" s="2" t="s">
        <v>285</v>
      </c>
      <c r="K136" s="7">
        <v>1885.44</v>
      </c>
      <c r="L136" s="2" t="b">
        <v>1</v>
      </c>
      <c r="N136" s="2" t="s">
        <v>258</v>
      </c>
      <c r="O136" s="7">
        <v>342.5</v>
      </c>
      <c r="P136" s="2" t="b">
        <v>1</v>
      </c>
    </row>
    <row r="137">
      <c r="A137" s="2" t="s">
        <v>260</v>
      </c>
      <c r="B137" s="7">
        <f>137+60+26</f>
        <v>223</v>
      </c>
      <c r="C137" s="2" t="b">
        <v>1</v>
      </c>
      <c r="F137" s="2" t="s">
        <v>337</v>
      </c>
      <c r="G137" s="7">
        <v>604.0</v>
      </c>
      <c r="H137" s="2" t="b">
        <v>1</v>
      </c>
      <c r="J137" s="2" t="s">
        <v>285</v>
      </c>
      <c r="K137" s="7">
        <v>251.0</v>
      </c>
      <c r="L137" s="2" t="b">
        <v>1</v>
      </c>
      <c r="N137" s="2" t="s">
        <v>323</v>
      </c>
      <c r="O137" s="7">
        <v>178.02</v>
      </c>
      <c r="P137" s="2" t="b">
        <v>1</v>
      </c>
    </row>
    <row r="138">
      <c r="A138" s="2" t="s">
        <v>290</v>
      </c>
      <c r="B138" s="7">
        <v>250.0</v>
      </c>
      <c r="C138" s="2" t="b">
        <v>1</v>
      </c>
      <c r="F138" s="2" t="s">
        <v>338</v>
      </c>
      <c r="G138" s="7">
        <v>296.6</v>
      </c>
      <c r="H138" s="2" t="b">
        <v>1</v>
      </c>
      <c r="J138" s="2" t="s">
        <v>285</v>
      </c>
      <c r="K138" s="7">
        <v>118.0</v>
      </c>
      <c r="L138" s="2" t="b">
        <v>1</v>
      </c>
      <c r="N138" s="2" t="s">
        <v>288</v>
      </c>
      <c r="O138" s="7">
        <v>128.0</v>
      </c>
      <c r="P138" s="2" t="b">
        <v>1</v>
      </c>
    </row>
    <row r="139">
      <c r="A139" s="2" t="s">
        <v>329</v>
      </c>
      <c r="B139" s="7">
        <v>852.5</v>
      </c>
      <c r="C139" s="2" t="b">
        <v>1</v>
      </c>
      <c r="F139" s="2" t="s">
        <v>281</v>
      </c>
      <c r="G139" s="7">
        <v>456.5</v>
      </c>
      <c r="H139" s="2" t="b">
        <v>1</v>
      </c>
      <c r="J139" s="2" t="s">
        <v>339</v>
      </c>
      <c r="K139" s="7">
        <v>85.0</v>
      </c>
      <c r="L139" s="2" t="b">
        <v>1</v>
      </c>
      <c r="N139" s="2" t="s">
        <v>288</v>
      </c>
      <c r="O139" s="7">
        <v>60.0</v>
      </c>
      <c r="P139" s="2" t="b">
        <v>1</v>
      </c>
    </row>
    <row r="140">
      <c r="A140" s="2" t="s">
        <v>283</v>
      </c>
      <c r="B140" s="7">
        <v>109.8</v>
      </c>
      <c r="C140" s="2" t="b">
        <v>1</v>
      </c>
      <c r="F140" s="2" t="s">
        <v>202</v>
      </c>
      <c r="G140" s="7">
        <v>109.0</v>
      </c>
      <c r="H140" s="2" t="b">
        <v>1</v>
      </c>
      <c r="J140" s="2" t="s">
        <v>283</v>
      </c>
      <c r="K140" s="7">
        <v>189.94</v>
      </c>
      <c r="L140" s="2" t="b">
        <v>1</v>
      </c>
      <c r="N140" s="2" t="s">
        <v>274</v>
      </c>
      <c r="O140" s="7">
        <v>579.1</v>
      </c>
      <c r="P140" s="2" t="b">
        <v>1</v>
      </c>
    </row>
    <row r="141">
      <c r="A141" s="2" t="s">
        <v>329</v>
      </c>
      <c r="B141" s="7">
        <v>852.5</v>
      </c>
      <c r="C141" s="2" t="b">
        <v>1</v>
      </c>
      <c r="F141" s="2" t="s">
        <v>340</v>
      </c>
      <c r="G141" s="7">
        <v>1446.5</v>
      </c>
      <c r="H141" s="2" t="b">
        <v>1</v>
      </c>
      <c r="J141" s="2" t="s">
        <v>274</v>
      </c>
      <c r="K141" s="7">
        <v>638.67</v>
      </c>
      <c r="L141" s="2" t="b">
        <v>1</v>
      </c>
      <c r="N141" s="2" t="s">
        <v>341</v>
      </c>
      <c r="O141" s="7">
        <v>11.0</v>
      </c>
      <c r="P141" s="2" t="b">
        <v>1</v>
      </c>
    </row>
    <row r="142">
      <c r="A142" s="2" t="s">
        <v>342</v>
      </c>
      <c r="B142" s="7">
        <v>1116.5</v>
      </c>
      <c r="C142" s="2" t="b">
        <v>1</v>
      </c>
      <c r="F142" s="2" t="s">
        <v>285</v>
      </c>
      <c r="G142" s="7">
        <v>1514.75</v>
      </c>
      <c r="H142" s="2" t="b">
        <v>1</v>
      </c>
      <c r="J142" s="2" t="s">
        <v>343</v>
      </c>
      <c r="K142" s="7">
        <v>61.5</v>
      </c>
      <c r="L142" s="2" t="b">
        <v>1</v>
      </c>
      <c r="N142" s="2" t="s">
        <v>344</v>
      </c>
      <c r="O142" s="7">
        <v>538.0</v>
      </c>
      <c r="P142" s="2" t="b">
        <v>1</v>
      </c>
    </row>
    <row r="143">
      <c r="A143" s="2" t="s">
        <v>277</v>
      </c>
      <c r="B143" s="7">
        <v>297.5</v>
      </c>
      <c r="C143" s="2" t="b">
        <v>1</v>
      </c>
      <c r="F143" s="2" t="s">
        <v>285</v>
      </c>
      <c r="G143" s="7">
        <v>337.72</v>
      </c>
      <c r="H143" s="2" t="b">
        <v>1</v>
      </c>
      <c r="J143" s="2" t="s">
        <v>345</v>
      </c>
      <c r="K143" s="7">
        <v>90.0</v>
      </c>
      <c r="L143" s="2" t="b">
        <v>1</v>
      </c>
      <c r="N143" s="2" t="s">
        <v>346</v>
      </c>
      <c r="O143" s="7">
        <v>150.0</v>
      </c>
      <c r="P143" s="2" t="b">
        <v>1</v>
      </c>
    </row>
    <row r="144">
      <c r="A144" s="2" t="s">
        <v>202</v>
      </c>
      <c r="B144" s="7">
        <v>614.7</v>
      </c>
      <c r="C144" s="2" t="b">
        <v>1</v>
      </c>
      <c r="F144" s="2" t="s">
        <v>285</v>
      </c>
      <c r="G144" s="7">
        <v>60.0</v>
      </c>
      <c r="H144" s="2" t="b">
        <v>1</v>
      </c>
      <c r="J144" s="2" t="s">
        <v>288</v>
      </c>
      <c r="K144" s="7">
        <v>47.0</v>
      </c>
      <c r="L144" s="2" t="b">
        <v>1</v>
      </c>
      <c r="N144" s="2" t="s">
        <v>347</v>
      </c>
      <c r="O144" s="7">
        <v>216.0</v>
      </c>
      <c r="P144" s="2" t="b">
        <v>1</v>
      </c>
    </row>
    <row r="145">
      <c r="A145" s="2" t="s">
        <v>285</v>
      </c>
      <c r="B145" s="7">
        <v>1230.94</v>
      </c>
      <c r="C145" s="2" t="b">
        <v>1</v>
      </c>
      <c r="F145" s="2" t="s">
        <v>285</v>
      </c>
      <c r="G145" s="7">
        <v>1096.71</v>
      </c>
      <c r="H145" s="2" t="b">
        <v>1</v>
      </c>
      <c r="J145" s="2" t="s">
        <v>258</v>
      </c>
      <c r="K145" s="7">
        <v>640.5</v>
      </c>
      <c r="L145" s="2" t="b">
        <v>1</v>
      </c>
      <c r="N145" s="2" t="s">
        <v>258</v>
      </c>
      <c r="O145" s="7">
        <v>1627.0</v>
      </c>
      <c r="P145" s="2" t="b">
        <v>1</v>
      </c>
    </row>
    <row r="146">
      <c r="A146" s="2" t="s">
        <v>285</v>
      </c>
      <c r="B146" s="7">
        <v>2273.61</v>
      </c>
      <c r="C146" s="2" t="b">
        <v>1</v>
      </c>
      <c r="F146" s="2" t="s">
        <v>260</v>
      </c>
      <c r="G146" s="7">
        <v>64.0</v>
      </c>
      <c r="H146" s="2" t="b">
        <v>1</v>
      </c>
      <c r="J146" s="2" t="s">
        <v>348</v>
      </c>
      <c r="K146" s="7">
        <v>34.67</v>
      </c>
      <c r="L146" s="2" t="b">
        <v>1</v>
      </c>
      <c r="N146" s="2" t="s">
        <v>349</v>
      </c>
      <c r="O146" s="7">
        <v>294.0</v>
      </c>
      <c r="P146" s="2" t="b">
        <v>1</v>
      </c>
    </row>
    <row r="147">
      <c r="A147" s="2" t="s">
        <v>350</v>
      </c>
      <c r="B147" s="7">
        <v>270.0</v>
      </c>
      <c r="C147" s="2" t="b">
        <v>1</v>
      </c>
      <c r="F147" s="2" t="s">
        <v>285</v>
      </c>
      <c r="G147" s="7">
        <v>2042.46</v>
      </c>
      <c r="H147" s="2" t="b">
        <v>1</v>
      </c>
      <c r="J147" s="2" t="s">
        <v>287</v>
      </c>
      <c r="K147" s="7">
        <v>17.36</v>
      </c>
      <c r="L147" s="2" t="b">
        <v>1</v>
      </c>
      <c r="N147" s="2" t="s">
        <v>285</v>
      </c>
      <c r="O147" s="7">
        <v>1970.31</v>
      </c>
      <c r="P147" s="2" t="b">
        <v>1</v>
      </c>
    </row>
    <row r="148">
      <c r="A148" s="2" t="s">
        <v>351</v>
      </c>
      <c r="B148" s="7">
        <v>3098.7</v>
      </c>
      <c r="C148" s="2" t="b">
        <v>1</v>
      </c>
      <c r="F148" s="2" t="s">
        <v>352</v>
      </c>
      <c r="G148" s="8">
        <f>671.88+15</f>
        <v>686.88</v>
      </c>
      <c r="H148" s="2" t="b">
        <v>1</v>
      </c>
      <c r="J148" s="2" t="s">
        <v>120</v>
      </c>
      <c r="K148" s="7">
        <v>4010.43</v>
      </c>
      <c r="L148" s="2" t="b">
        <v>1</v>
      </c>
      <c r="N148" s="2" t="s">
        <v>258</v>
      </c>
      <c r="O148" s="7">
        <v>169.75</v>
      </c>
      <c r="P148" s="2" t="b">
        <v>1</v>
      </c>
    </row>
    <row r="149">
      <c r="A149" s="2" t="s">
        <v>353</v>
      </c>
      <c r="B149" s="7">
        <v>200.0</v>
      </c>
      <c r="C149" s="2" t="b">
        <v>1</v>
      </c>
      <c r="F149" s="2" t="s">
        <v>260</v>
      </c>
      <c r="G149" s="7">
        <v>212.0</v>
      </c>
      <c r="H149" s="2" t="b">
        <v>1</v>
      </c>
      <c r="J149" s="2" t="s">
        <v>328</v>
      </c>
      <c r="K149" s="7">
        <v>79.0</v>
      </c>
      <c r="L149" s="2" t="b">
        <v>1</v>
      </c>
      <c r="N149" s="2" t="s">
        <v>354</v>
      </c>
      <c r="O149" s="7">
        <v>715.0</v>
      </c>
      <c r="P149" s="2" t="b">
        <v>1</v>
      </c>
    </row>
    <row r="150">
      <c r="A150" s="2" t="s">
        <v>355</v>
      </c>
      <c r="B150" s="7">
        <v>551.19</v>
      </c>
      <c r="C150" s="2" t="b">
        <v>1</v>
      </c>
      <c r="F150" s="2" t="s">
        <v>295</v>
      </c>
      <c r="G150" s="7">
        <v>352.0</v>
      </c>
      <c r="H150" s="2" t="b">
        <v>1</v>
      </c>
      <c r="J150" s="2" t="s">
        <v>283</v>
      </c>
      <c r="K150" s="7">
        <v>119.98</v>
      </c>
      <c r="L150" s="2" t="b">
        <v>1</v>
      </c>
      <c r="N150" s="2" t="s">
        <v>347</v>
      </c>
      <c r="O150" s="7">
        <v>130.0</v>
      </c>
      <c r="P150" s="2" t="b">
        <v>1</v>
      </c>
    </row>
    <row r="151">
      <c r="A151" s="2" t="s">
        <v>260</v>
      </c>
      <c r="B151" s="7">
        <v>382.0</v>
      </c>
      <c r="C151" s="2" t="b">
        <v>1</v>
      </c>
      <c r="F151" s="2" t="s">
        <v>356</v>
      </c>
      <c r="G151" s="7">
        <v>319.64</v>
      </c>
      <c r="H151" s="2" t="b">
        <v>1</v>
      </c>
      <c r="J151" s="2" t="s">
        <v>357</v>
      </c>
      <c r="K151" s="7">
        <v>221.0</v>
      </c>
      <c r="L151" s="2" t="b">
        <v>1</v>
      </c>
      <c r="N151" s="2" t="s">
        <v>358</v>
      </c>
      <c r="O151" s="7">
        <v>297.0</v>
      </c>
      <c r="P151" s="2" t="b">
        <v>1</v>
      </c>
    </row>
    <row r="152">
      <c r="A152" s="64" t="s">
        <v>359</v>
      </c>
      <c r="B152" s="7">
        <v>230.0</v>
      </c>
      <c r="C152" s="2" t="b">
        <v>1</v>
      </c>
      <c r="F152" s="2" t="s">
        <v>258</v>
      </c>
      <c r="G152" s="8">
        <f>271.61+15.8</f>
        <v>287.41</v>
      </c>
      <c r="H152" s="2" t="b">
        <v>1</v>
      </c>
      <c r="J152" s="2" t="s">
        <v>360</v>
      </c>
      <c r="K152" s="7">
        <v>75.37</v>
      </c>
      <c r="L152" s="2" t="b">
        <v>1</v>
      </c>
      <c r="N152" s="2" t="s">
        <v>288</v>
      </c>
      <c r="O152" s="7">
        <v>101.0</v>
      </c>
      <c r="P152" s="2" t="b">
        <v>1</v>
      </c>
    </row>
    <row r="153">
      <c r="A153" s="2" t="s">
        <v>361</v>
      </c>
      <c r="B153" s="7">
        <v>269.0</v>
      </c>
      <c r="C153" s="2" t="b">
        <v>1</v>
      </c>
      <c r="F153" s="2" t="s">
        <v>362</v>
      </c>
      <c r="G153" s="7">
        <v>2208.65</v>
      </c>
      <c r="H153" s="2" t="b">
        <v>1</v>
      </c>
      <c r="J153" s="2" t="s">
        <v>274</v>
      </c>
      <c r="K153" s="7">
        <v>179.31</v>
      </c>
      <c r="L153" s="2" t="b">
        <v>1</v>
      </c>
      <c r="N153" s="2" t="s">
        <v>363</v>
      </c>
      <c r="O153" s="7">
        <v>62.0</v>
      </c>
      <c r="P153" s="2" t="b">
        <v>1</v>
      </c>
    </row>
    <row r="154">
      <c r="A154" s="2" t="s">
        <v>283</v>
      </c>
      <c r="B154" s="7">
        <v>119.0</v>
      </c>
      <c r="C154" s="2" t="b">
        <v>1</v>
      </c>
      <c r="F154" s="2" t="s">
        <v>258</v>
      </c>
      <c r="G154" s="7">
        <v>824.65</v>
      </c>
      <c r="H154" s="2" t="b">
        <v>1</v>
      </c>
      <c r="J154" s="2" t="s">
        <v>364</v>
      </c>
      <c r="K154" s="7">
        <v>88.5</v>
      </c>
      <c r="L154" s="2" t="b">
        <v>1</v>
      </c>
      <c r="N154" s="2" t="s">
        <v>285</v>
      </c>
      <c r="O154" s="7">
        <v>2507.0</v>
      </c>
      <c r="P154" s="2" t="b">
        <v>1</v>
      </c>
    </row>
    <row r="155">
      <c r="A155" s="2" t="s">
        <v>365</v>
      </c>
      <c r="B155" s="7">
        <v>90.0</v>
      </c>
      <c r="C155" s="2" t="b">
        <v>1</v>
      </c>
      <c r="F155" s="2" t="s">
        <v>366</v>
      </c>
      <c r="G155" s="7">
        <v>122.0</v>
      </c>
      <c r="H155" s="2" t="b">
        <v>1</v>
      </c>
      <c r="J155" s="2" t="s">
        <v>367</v>
      </c>
      <c r="K155" s="7">
        <v>665.5</v>
      </c>
      <c r="L155" s="2" t="b">
        <v>1</v>
      </c>
      <c r="N155" s="2" t="s">
        <v>258</v>
      </c>
      <c r="O155" s="7">
        <v>324.61</v>
      </c>
      <c r="P155" s="2" t="b">
        <v>1</v>
      </c>
    </row>
    <row r="156">
      <c r="A156" s="2" t="s">
        <v>281</v>
      </c>
      <c r="B156" s="7">
        <v>440.0</v>
      </c>
      <c r="C156" s="2" t="b">
        <v>1</v>
      </c>
      <c r="F156" s="2" t="s">
        <v>295</v>
      </c>
      <c r="G156" s="7">
        <v>341.0</v>
      </c>
      <c r="H156" s="2" t="b">
        <v>1</v>
      </c>
      <c r="I156" s="2" t="s">
        <v>368</v>
      </c>
      <c r="J156" s="2" t="s">
        <v>311</v>
      </c>
      <c r="K156" s="7">
        <v>693.0</v>
      </c>
      <c r="L156" s="2" t="b">
        <v>1</v>
      </c>
      <c r="N156" s="2" t="s">
        <v>347</v>
      </c>
      <c r="O156" s="7">
        <v>163.0</v>
      </c>
      <c r="P156" s="2" t="b">
        <v>1</v>
      </c>
    </row>
    <row r="157">
      <c r="A157" s="2" t="s">
        <v>369</v>
      </c>
      <c r="B157" s="7">
        <v>183.6</v>
      </c>
      <c r="C157" s="2" t="b">
        <v>1</v>
      </c>
      <c r="J157" s="2" t="s">
        <v>288</v>
      </c>
      <c r="K157" s="7">
        <v>86.0</v>
      </c>
      <c r="L157" s="2" t="b">
        <v>1</v>
      </c>
      <c r="N157" s="2" t="s">
        <v>370</v>
      </c>
      <c r="O157" s="7">
        <v>183.7</v>
      </c>
      <c r="P157" s="2" t="b">
        <v>1</v>
      </c>
    </row>
    <row r="158">
      <c r="A158" s="2" t="s">
        <v>260</v>
      </c>
      <c r="B158" s="7">
        <v>286.0</v>
      </c>
      <c r="C158" s="2" t="b">
        <v>1</v>
      </c>
      <c r="J158" s="2" t="s">
        <v>371</v>
      </c>
      <c r="K158" s="7">
        <v>99.9</v>
      </c>
      <c r="L158" s="2" t="b">
        <v>1</v>
      </c>
      <c r="N158" s="2" t="s">
        <v>372</v>
      </c>
      <c r="O158" s="7">
        <v>155.0</v>
      </c>
      <c r="P158" s="2" t="b">
        <v>1</v>
      </c>
    </row>
    <row r="159">
      <c r="A159" s="2" t="s">
        <v>373</v>
      </c>
      <c r="B159" s="7">
        <v>200.0</v>
      </c>
      <c r="C159" s="2" t="b">
        <v>1</v>
      </c>
      <c r="J159" s="2" t="s">
        <v>290</v>
      </c>
      <c r="K159" s="7">
        <v>101.0</v>
      </c>
      <c r="L159" s="2" t="b">
        <v>1</v>
      </c>
      <c r="N159" s="2" t="s">
        <v>274</v>
      </c>
      <c r="O159" s="7">
        <v>146.3</v>
      </c>
      <c r="P159" s="2" t="b">
        <v>1</v>
      </c>
    </row>
    <row r="160">
      <c r="A160" s="2" t="s">
        <v>373</v>
      </c>
      <c r="B160" s="7">
        <v>3098.7</v>
      </c>
      <c r="C160" s="2" t="b">
        <v>1</v>
      </c>
      <c r="J160" s="2" t="s">
        <v>60</v>
      </c>
      <c r="K160" s="7">
        <v>250.0</v>
      </c>
      <c r="L160" s="2" t="b">
        <v>1</v>
      </c>
      <c r="N160" s="2" t="s">
        <v>285</v>
      </c>
      <c r="O160" s="7">
        <v>2811.2</v>
      </c>
      <c r="P160" s="2" t="b">
        <v>1</v>
      </c>
    </row>
    <row r="161">
      <c r="A161" s="2" t="s">
        <v>260</v>
      </c>
      <c r="B161" s="7">
        <v>220.0</v>
      </c>
      <c r="C161" s="2" t="b">
        <v>1</v>
      </c>
      <c r="J161" s="2" t="s">
        <v>288</v>
      </c>
      <c r="K161" s="7">
        <v>100.0</v>
      </c>
      <c r="L161" s="2" t="b">
        <v>1</v>
      </c>
      <c r="N161" s="2" t="s">
        <v>374</v>
      </c>
      <c r="O161" s="7">
        <v>146.0</v>
      </c>
      <c r="P161" s="2" t="b">
        <v>1</v>
      </c>
    </row>
    <row r="162">
      <c r="A162" s="2" t="s">
        <v>285</v>
      </c>
      <c r="B162" s="7">
        <v>3426.43</v>
      </c>
      <c r="C162" s="2" t="b">
        <v>1</v>
      </c>
      <c r="J162" s="2" t="s">
        <v>285</v>
      </c>
      <c r="K162" s="7">
        <v>3259.02</v>
      </c>
      <c r="L162" s="2" t="b">
        <v>1</v>
      </c>
      <c r="N162" s="2" t="s">
        <v>258</v>
      </c>
      <c r="O162" s="7">
        <v>592.66</v>
      </c>
      <c r="P162" s="2" t="b">
        <v>1</v>
      </c>
    </row>
    <row r="163">
      <c r="A163" s="2" t="s">
        <v>375</v>
      </c>
      <c r="B163" s="7">
        <v>180.0</v>
      </c>
      <c r="C163" s="2" t="b">
        <v>1</v>
      </c>
      <c r="J163" s="2" t="s">
        <v>376</v>
      </c>
      <c r="K163" s="8">
        <f>93+200</f>
        <v>293</v>
      </c>
      <c r="L163" s="2" t="b">
        <v>1</v>
      </c>
      <c r="N163" s="2" t="s">
        <v>258</v>
      </c>
      <c r="O163" s="7">
        <v>184.11</v>
      </c>
      <c r="P163" s="2" t="b">
        <v>1</v>
      </c>
    </row>
    <row r="164">
      <c r="A164" s="2" t="s">
        <v>349</v>
      </c>
      <c r="B164" s="7">
        <v>102.0</v>
      </c>
      <c r="C164" s="2" t="b">
        <v>1</v>
      </c>
      <c r="D164" s="2" t="s">
        <v>377</v>
      </c>
      <c r="J164" s="2" t="s">
        <v>366</v>
      </c>
      <c r="K164" s="7">
        <v>13.5</v>
      </c>
      <c r="L164" s="2" t="b">
        <v>1</v>
      </c>
      <c r="N164" s="2" t="s">
        <v>347</v>
      </c>
      <c r="O164" s="7">
        <v>100.52</v>
      </c>
      <c r="P164" s="2" t="b">
        <v>1</v>
      </c>
    </row>
    <row r="165">
      <c r="B165" s="8"/>
      <c r="J165" s="2" t="s">
        <v>295</v>
      </c>
      <c r="K165" s="7">
        <v>379.5</v>
      </c>
      <c r="L165" s="2" t="b">
        <v>1</v>
      </c>
    </row>
    <row r="166">
      <c r="B166" s="8"/>
      <c r="J166" s="2" t="s">
        <v>378</v>
      </c>
      <c r="K166" s="7">
        <v>120.0</v>
      </c>
      <c r="L166" s="2" t="b">
        <v>1</v>
      </c>
    </row>
    <row r="167">
      <c r="B167" s="8"/>
      <c r="J167" s="2" t="s">
        <v>364</v>
      </c>
      <c r="K167" s="7">
        <v>30.0</v>
      </c>
      <c r="L167" s="2" t="b">
        <v>1</v>
      </c>
    </row>
    <row r="168">
      <c r="B168" s="8"/>
      <c r="J168" s="2" t="s">
        <v>323</v>
      </c>
      <c r="K168" s="7">
        <v>89.95</v>
      </c>
      <c r="L168" s="2" t="b">
        <v>1</v>
      </c>
    </row>
    <row r="169">
      <c r="B169" s="8"/>
      <c r="K169" s="7"/>
    </row>
    <row r="170">
      <c r="B170" s="8"/>
      <c r="K170" s="7"/>
    </row>
    <row r="171">
      <c r="B171" s="8"/>
      <c r="J171" s="2" t="s">
        <v>283</v>
      </c>
      <c r="K171" s="7">
        <v>89.95</v>
      </c>
      <c r="L171" s="2" t="b">
        <v>1</v>
      </c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  <row r="1002">
      <c r="B1002" s="8"/>
    </row>
    <row r="1003">
      <c r="B1003" s="8"/>
    </row>
    <row r="1004">
      <c r="B1004" s="8"/>
    </row>
    <row r="1005">
      <c r="B1005" s="8"/>
    </row>
    <row r="1006">
      <c r="B1006" s="8"/>
    </row>
    <row r="1007">
      <c r="B1007" s="8"/>
    </row>
    <row r="1008">
      <c r="B1008" s="8"/>
    </row>
    <row r="1009">
      <c r="B1009" s="8"/>
    </row>
    <row r="1010">
      <c r="B1010" s="8"/>
    </row>
    <row r="1011">
      <c r="B1011" s="8"/>
    </row>
    <row r="1012">
      <c r="B1012" s="8"/>
    </row>
    <row r="1013">
      <c r="B1013" s="8"/>
    </row>
    <row r="1014">
      <c r="B1014" s="8"/>
    </row>
    <row r="1015">
      <c r="B1015" s="8"/>
    </row>
    <row r="1016">
      <c r="B1016" s="8"/>
    </row>
    <row r="1017">
      <c r="B1017" s="8"/>
    </row>
    <row r="1018">
      <c r="B1018" s="8"/>
    </row>
    <row r="1019">
      <c r="B1019" s="8"/>
    </row>
    <row r="1020">
      <c r="B1020" s="8"/>
    </row>
    <row r="1021">
      <c r="B1021" s="8"/>
    </row>
    <row r="1022">
      <c r="B1022" s="8"/>
    </row>
    <row r="1023">
      <c r="B1023" s="8"/>
    </row>
    <row r="1024">
      <c r="B1024" s="8"/>
    </row>
    <row r="1025">
      <c r="B1025" s="8"/>
    </row>
    <row r="1026">
      <c r="B1026" s="8"/>
    </row>
    <row r="1027">
      <c r="B1027" s="8"/>
    </row>
    <row r="1028">
      <c r="B1028" s="8"/>
    </row>
    <row r="1029">
      <c r="B1029" s="8"/>
    </row>
    <row r="1030">
      <c r="B1030" s="8"/>
    </row>
    <row r="1031">
      <c r="B1031" s="8"/>
    </row>
    <row r="1032">
      <c r="B1032" s="8"/>
    </row>
    <row r="1033">
      <c r="B1033" s="8"/>
    </row>
    <row r="1034">
      <c r="B1034" s="8"/>
    </row>
    <row r="1035">
      <c r="B1035" s="8"/>
    </row>
    <row r="1036">
      <c r="B1036" s="8"/>
    </row>
    <row r="1037">
      <c r="B1037" s="8"/>
    </row>
    <row r="1038">
      <c r="B1038" s="8"/>
    </row>
    <row r="1039">
      <c r="B1039" s="8"/>
    </row>
    <row r="1040">
      <c r="B1040" s="8"/>
    </row>
    <row r="1041">
      <c r="B1041" s="8"/>
    </row>
    <row r="1042">
      <c r="B1042" s="8"/>
    </row>
    <row r="1043">
      <c r="B1043" s="8"/>
    </row>
    <row r="1044">
      <c r="B1044" s="8"/>
    </row>
    <row r="1045">
      <c r="B1045" s="8"/>
    </row>
    <row r="1046">
      <c r="B1046" s="8"/>
    </row>
    <row r="1047">
      <c r="B1047" s="8"/>
    </row>
    <row r="1048">
      <c r="B1048" s="8"/>
    </row>
    <row r="1049">
      <c r="B1049" s="8"/>
    </row>
    <row r="1050">
      <c r="B1050" s="8"/>
    </row>
    <row r="1051">
      <c r="B1051" s="8"/>
    </row>
    <row r="1052">
      <c r="B1052" s="8"/>
    </row>
    <row r="1053">
      <c r="B1053" s="8"/>
    </row>
    <row r="1054">
      <c r="B1054" s="8"/>
    </row>
    <row r="1055">
      <c r="B1055" s="8"/>
    </row>
    <row r="1056">
      <c r="B1056" s="8"/>
    </row>
    <row r="1057">
      <c r="B1057" s="8"/>
    </row>
    <row r="1058">
      <c r="B1058" s="8"/>
    </row>
    <row r="1059">
      <c r="B1059" s="8"/>
    </row>
  </sheetData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0.5"/>
    <col customWidth="1" min="3" max="3" width="15.25"/>
    <col customWidth="1" min="4" max="4" width="22.63"/>
    <col customWidth="1" min="19" max="19" width="14.13"/>
    <col customWidth="1" min="22" max="22" width="18.88"/>
  </cols>
  <sheetData>
    <row r="1">
      <c r="A1" s="2" t="s">
        <v>98</v>
      </c>
      <c r="B1" s="7" t="s">
        <v>238</v>
      </c>
      <c r="C1" s="2" t="s">
        <v>239</v>
      </c>
      <c r="D1" s="2" t="s">
        <v>379</v>
      </c>
      <c r="P1" s="8"/>
    </row>
    <row r="2">
      <c r="A2" s="2" t="s">
        <v>380</v>
      </c>
      <c r="B2" s="7">
        <v>670.0</v>
      </c>
      <c r="C2" s="2" t="b">
        <v>1</v>
      </c>
      <c r="D2" s="2" t="s">
        <v>143</v>
      </c>
      <c r="P2" s="7"/>
    </row>
    <row r="3">
      <c r="A3" s="2" t="s">
        <v>381</v>
      </c>
      <c r="B3" s="7">
        <v>392.7</v>
      </c>
      <c r="C3" s="2" t="b">
        <v>1</v>
      </c>
      <c r="D3" s="2" t="s">
        <v>110</v>
      </c>
      <c r="P3" s="7"/>
    </row>
    <row r="4">
      <c r="A4" s="2" t="s">
        <v>57</v>
      </c>
      <c r="B4" s="7">
        <v>1210.24</v>
      </c>
      <c r="C4" s="2" t="b">
        <v>1</v>
      </c>
      <c r="D4" s="2" t="s">
        <v>33</v>
      </c>
      <c r="F4" s="7"/>
      <c r="P4" s="7"/>
    </row>
    <row r="5">
      <c r="A5" s="2" t="s">
        <v>382</v>
      </c>
      <c r="B5" s="7">
        <v>237.2</v>
      </c>
      <c r="C5" s="2" t="b">
        <v>0</v>
      </c>
      <c r="D5" s="2" t="s">
        <v>33</v>
      </c>
      <c r="P5" s="7"/>
    </row>
    <row r="6">
      <c r="A6" s="2" t="s">
        <v>383</v>
      </c>
      <c r="B6" s="7">
        <v>1499.0</v>
      </c>
      <c r="C6" s="2" t="b">
        <v>0</v>
      </c>
      <c r="D6" s="2" t="s">
        <v>33</v>
      </c>
      <c r="G6" s="8"/>
      <c r="P6" s="7"/>
    </row>
    <row r="7">
      <c r="A7" s="2" t="s">
        <v>384</v>
      </c>
      <c r="B7" s="7">
        <v>920.0</v>
      </c>
      <c r="C7" s="2" t="b">
        <v>1</v>
      </c>
      <c r="D7" s="2" t="s">
        <v>139</v>
      </c>
      <c r="G7" s="8"/>
      <c r="P7" s="7"/>
    </row>
    <row r="8">
      <c r="A8" s="2" t="s">
        <v>385</v>
      </c>
      <c r="B8" s="7">
        <v>215.0</v>
      </c>
      <c r="C8" s="2" t="b">
        <v>1</v>
      </c>
      <c r="D8" s="2" t="s">
        <v>139</v>
      </c>
      <c r="P8" s="7"/>
    </row>
    <row r="9">
      <c r="A9" s="2" t="s">
        <v>382</v>
      </c>
      <c r="B9" s="7">
        <v>392.0</v>
      </c>
      <c r="C9" s="2" t="b">
        <v>1</v>
      </c>
      <c r="D9" s="2" t="s">
        <v>110</v>
      </c>
      <c r="P9" s="7"/>
    </row>
    <row r="10">
      <c r="A10" s="2" t="s">
        <v>382</v>
      </c>
      <c r="B10" s="7">
        <v>359.0</v>
      </c>
      <c r="C10" s="2" t="b">
        <v>1</v>
      </c>
      <c r="D10" s="2" t="s">
        <v>110</v>
      </c>
      <c r="P10" s="8"/>
    </row>
    <row r="11">
      <c r="A11" s="2" t="s">
        <v>382</v>
      </c>
      <c r="B11" s="7">
        <v>329.69</v>
      </c>
      <c r="C11" s="2" t="b">
        <v>1</v>
      </c>
      <c r="D11" s="2" t="s">
        <v>110</v>
      </c>
      <c r="P11" s="8"/>
    </row>
    <row r="12">
      <c r="A12" s="2" t="s">
        <v>382</v>
      </c>
      <c r="B12" s="7">
        <v>325.59</v>
      </c>
      <c r="C12" s="2" t="b">
        <v>1</v>
      </c>
      <c r="D12" s="2" t="s">
        <v>110</v>
      </c>
    </row>
    <row r="13">
      <c r="A13" s="2" t="s">
        <v>386</v>
      </c>
      <c r="B13" s="7">
        <v>246.22</v>
      </c>
      <c r="C13" s="2" t="b">
        <v>1</v>
      </c>
      <c r="D13" s="2" t="s">
        <v>110</v>
      </c>
    </row>
    <row r="14">
      <c r="A14" s="2" t="s">
        <v>387</v>
      </c>
      <c r="B14" s="7">
        <v>149.0</v>
      </c>
      <c r="C14" s="2" t="b">
        <v>1</v>
      </c>
      <c r="D14" s="2" t="s">
        <v>110</v>
      </c>
    </row>
    <row r="15">
      <c r="A15" s="2" t="s">
        <v>388</v>
      </c>
      <c r="B15" s="7">
        <v>106.79</v>
      </c>
      <c r="C15" s="2" t="b">
        <v>1</v>
      </c>
      <c r="D15" s="2" t="s">
        <v>110</v>
      </c>
    </row>
    <row r="16">
      <c r="A16" s="2" t="s">
        <v>389</v>
      </c>
      <c r="B16" s="7">
        <v>584.49</v>
      </c>
      <c r="C16" s="2" t="b">
        <v>1</v>
      </c>
      <c r="D16" s="2" t="s">
        <v>110</v>
      </c>
    </row>
    <row r="17">
      <c r="A17" s="2" t="s">
        <v>382</v>
      </c>
      <c r="B17" s="7">
        <v>206.0</v>
      </c>
      <c r="C17" s="2" t="b">
        <v>1</v>
      </c>
      <c r="D17" s="2" t="s">
        <v>110</v>
      </c>
    </row>
    <row r="18">
      <c r="A18" s="2" t="s">
        <v>390</v>
      </c>
      <c r="B18" s="7">
        <v>300.0</v>
      </c>
      <c r="C18" s="2" t="b">
        <v>1</v>
      </c>
      <c r="D18" s="2" t="s">
        <v>110</v>
      </c>
    </row>
    <row r="19">
      <c r="A19" s="2" t="s">
        <v>391</v>
      </c>
      <c r="B19" s="7">
        <v>593.34</v>
      </c>
      <c r="C19" s="2" t="b">
        <v>1</v>
      </c>
      <c r="D19" s="2" t="s">
        <v>110</v>
      </c>
    </row>
    <row r="20">
      <c r="A20" s="2" t="s">
        <v>392</v>
      </c>
      <c r="B20" s="7">
        <v>18945.0</v>
      </c>
      <c r="C20" s="2" t="b">
        <v>1</v>
      </c>
      <c r="D20" s="2" t="s">
        <v>121</v>
      </c>
    </row>
    <row r="21">
      <c r="A21" s="2" t="s">
        <v>393</v>
      </c>
      <c r="B21" s="7">
        <v>1228.0</v>
      </c>
      <c r="C21" s="2" t="b">
        <v>0</v>
      </c>
      <c r="D21" s="2" t="s">
        <v>145</v>
      </c>
    </row>
    <row r="22">
      <c r="A22" s="2" t="s">
        <v>394</v>
      </c>
      <c r="B22" s="7">
        <v>750.0</v>
      </c>
      <c r="C22" s="2" t="b">
        <v>0</v>
      </c>
      <c r="D22" s="2" t="s">
        <v>145</v>
      </c>
      <c r="F22" s="7"/>
      <c r="G22" s="8"/>
    </row>
    <row r="23">
      <c r="A23" s="2" t="s">
        <v>19</v>
      </c>
      <c r="B23" s="7">
        <v>2150.0</v>
      </c>
      <c r="C23" s="2" t="b">
        <v>0</v>
      </c>
      <c r="D23" s="2" t="s">
        <v>145</v>
      </c>
    </row>
    <row r="24">
      <c r="A24" s="2" t="s">
        <v>25</v>
      </c>
      <c r="B24" s="7">
        <v>1187.0</v>
      </c>
      <c r="C24" s="2" t="b">
        <v>0</v>
      </c>
      <c r="D24" s="2" t="s">
        <v>145</v>
      </c>
    </row>
    <row r="25">
      <c r="A25" s="2" t="s">
        <v>395</v>
      </c>
      <c r="B25" s="7">
        <v>3000.0</v>
      </c>
      <c r="C25" s="2" t="b">
        <v>0</v>
      </c>
      <c r="D25" s="2" t="s">
        <v>145</v>
      </c>
    </row>
    <row r="26">
      <c r="B26" s="8"/>
    </row>
    <row r="27">
      <c r="B27" s="8"/>
    </row>
    <row r="28">
      <c r="B28" s="8"/>
      <c r="H28" s="8">
        <f>B22+B21</f>
        <v>1978</v>
      </c>
    </row>
    <row r="29">
      <c r="B29" s="8"/>
    </row>
    <row r="30">
      <c r="B30" s="8"/>
      <c r="H30" s="7">
        <f>(H28*0.1)/365</f>
        <v>0.5419178082</v>
      </c>
    </row>
    <row r="31">
      <c r="B31" s="8"/>
      <c r="H31" s="8">
        <f>H30*22</f>
        <v>11.92219178</v>
      </c>
    </row>
    <row r="32">
      <c r="B32" s="8"/>
    </row>
    <row r="33">
      <c r="B33" s="8"/>
      <c r="P33" s="8"/>
    </row>
    <row r="34">
      <c r="B34" s="8"/>
      <c r="P34" s="8"/>
    </row>
    <row r="35">
      <c r="B35" s="8"/>
      <c r="P35" s="8"/>
    </row>
    <row r="36">
      <c r="B36" s="8"/>
      <c r="P36" s="8"/>
    </row>
    <row r="37">
      <c r="B37" s="8"/>
      <c r="P37" s="8"/>
    </row>
    <row r="38">
      <c r="B38" s="8"/>
      <c r="P38" s="8"/>
    </row>
    <row r="39" ht="17.25" customHeight="1">
      <c r="B39" s="8"/>
      <c r="P39" s="8"/>
    </row>
    <row r="40">
      <c r="B40" s="8"/>
      <c r="P40" s="8"/>
    </row>
    <row r="41">
      <c r="B41" s="8"/>
      <c r="P41" s="8"/>
    </row>
    <row r="42">
      <c r="B42" s="8"/>
      <c r="P42" s="8"/>
    </row>
    <row r="43">
      <c r="B43" s="8"/>
      <c r="P43" s="8"/>
    </row>
    <row r="44">
      <c r="B44" s="8"/>
      <c r="P44" s="8"/>
    </row>
    <row r="45">
      <c r="B45" s="8"/>
      <c r="P45" s="8"/>
    </row>
    <row r="46">
      <c r="B46" s="8"/>
      <c r="P46" s="8"/>
    </row>
    <row r="47">
      <c r="B47" s="8"/>
      <c r="P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  <c r="P56" s="8"/>
    </row>
    <row r="57">
      <c r="B57" s="8"/>
      <c r="K57" s="8"/>
      <c r="P57" s="8"/>
    </row>
    <row r="58">
      <c r="B58" s="8"/>
      <c r="K58" s="8"/>
      <c r="P58" s="8"/>
    </row>
    <row r="59">
      <c r="B59" s="8"/>
    </row>
    <row r="60">
      <c r="B60" s="8"/>
    </row>
    <row r="61">
      <c r="B61" s="8"/>
      <c r="P61" s="8"/>
    </row>
    <row r="62">
      <c r="B62" s="8"/>
      <c r="P62" s="8"/>
    </row>
    <row r="63">
      <c r="B63" s="8"/>
      <c r="P63" s="8"/>
    </row>
    <row r="64">
      <c r="B64" s="8"/>
      <c r="P64" s="8"/>
    </row>
    <row r="65">
      <c r="B65" s="8"/>
      <c r="P65" s="8"/>
    </row>
    <row r="66">
      <c r="B66" s="8"/>
      <c r="P66" s="8"/>
    </row>
    <row r="67">
      <c r="B67" s="8"/>
      <c r="P67" s="8"/>
    </row>
    <row r="68">
      <c r="B68" s="8"/>
      <c r="P68" s="8"/>
    </row>
    <row r="69">
      <c r="B69" s="8"/>
      <c r="P69" s="8"/>
    </row>
    <row r="70">
      <c r="B70" s="8"/>
      <c r="P70" s="8"/>
    </row>
    <row r="71">
      <c r="B71" s="8"/>
      <c r="P71" s="8"/>
    </row>
    <row r="72">
      <c r="B72" s="8"/>
      <c r="P72" s="8"/>
    </row>
    <row r="73">
      <c r="B73" s="8"/>
      <c r="P73" s="8"/>
    </row>
    <row r="74">
      <c r="B74" s="8"/>
      <c r="P74" s="8"/>
    </row>
    <row r="75">
      <c r="B75" s="8"/>
      <c r="P75" s="8"/>
    </row>
    <row r="76">
      <c r="B76" s="8"/>
    </row>
    <row r="77">
      <c r="B77" s="8"/>
    </row>
    <row r="78">
      <c r="B78" s="8"/>
      <c r="P78" s="8"/>
    </row>
    <row r="79">
      <c r="B79" s="8"/>
      <c r="P79" s="8"/>
    </row>
    <row r="80">
      <c r="B80" s="8"/>
      <c r="P80" s="8"/>
    </row>
    <row r="81">
      <c r="B81" s="8"/>
    </row>
    <row r="82">
      <c r="A82" s="99"/>
      <c r="B82" s="99" t="s">
        <v>396</v>
      </c>
      <c r="C82" s="99" t="s">
        <v>397</v>
      </c>
    </row>
    <row r="83">
      <c r="A83" s="42" t="s">
        <v>110</v>
      </c>
      <c r="B83" s="40">
        <f t="shared" ref="B83:B89" si="1">SUMIF(D$2:D78,A83,B$2:B78)</f>
        <v>3984.82</v>
      </c>
      <c r="C83" s="40">
        <f t="shared" ref="C83:C89" si="2">SUMIFS(B$2:B78,C$2:C78,false,D$2:D78,A83)</f>
        <v>0</v>
      </c>
      <c r="P83" s="8"/>
    </row>
    <row r="84">
      <c r="A84" s="42" t="s">
        <v>33</v>
      </c>
      <c r="B84" s="40">
        <f t="shared" si="1"/>
        <v>2946.44</v>
      </c>
      <c r="C84" s="40">
        <f t="shared" si="2"/>
        <v>1736.2</v>
      </c>
      <c r="P84" s="8"/>
    </row>
    <row r="85">
      <c r="A85" s="52" t="s">
        <v>139</v>
      </c>
      <c r="B85" s="40">
        <f t="shared" si="1"/>
        <v>1135</v>
      </c>
      <c r="C85" s="40">
        <f t="shared" si="2"/>
        <v>0</v>
      </c>
      <c r="P85" s="8"/>
    </row>
    <row r="86">
      <c r="A86" s="52" t="s">
        <v>143</v>
      </c>
      <c r="B86" s="40">
        <f t="shared" si="1"/>
        <v>670</v>
      </c>
      <c r="C86" s="40">
        <f t="shared" si="2"/>
        <v>0</v>
      </c>
      <c r="P86" s="8"/>
    </row>
    <row r="87">
      <c r="A87" s="52" t="s">
        <v>145</v>
      </c>
      <c r="B87" s="40">
        <f t="shared" si="1"/>
        <v>8315</v>
      </c>
      <c r="C87" s="40">
        <f t="shared" si="2"/>
        <v>8315</v>
      </c>
      <c r="P87" s="8"/>
    </row>
    <row r="88">
      <c r="A88" s="52" t="s">
        <v>176</v>
      </c>
      <c r="B88" s="40">
        <f t="shared" si="1"/>
        <v>0</v>
      </c>
      <c r="C88" s="40">
        <f t="shared" si="2"/>
        <v>0</v>
      </c>
      <c r="P88" s="8"/>
    </row>
    <row r="89">
      <c r="A89" s="52" t="s">
        <v>121</v>
      </c>
      <c r="B89" s="40">
        <f t="shared" si="1"/>
        <v>18945</v>
      </c>
      <c r="C89" s="40">
        <f t="shared" si="2"/>
        <v>0</v>
      </c>
      <c r="P89" s="8"/>
    </row>
    <row r="90">
      <c r="B90" s="8"/>
      <c r="P90" s="8"/>
    </row>
    <row r="91">
      <c r="B91" s="8"/>
      <c r="P91" s="8"/>
    </row>
    <row r="92">
      <c r="A92" s="2" t="s">
        <v>267</v>
      </c>
      <c r="B92" s="8"/>
      <c r="C92" s="100"/>
      <c r="M92" s="2"/>
      <c r="N92" s="2" t="s">
        <v>398</v>
      </c>
      <c r="P92" s="8"/>
    </row>
    <row r="93">
      <c r="A93" s="2" t="s">
        <v>268</v>
      </c>
      <c r="B93" s="8"/>
      <c r="C93" s="100"/>
      <c r="E93" s="2" t="s">
        <v>399</v>
      </c>
      <c r="I93" s="2" t="s">
        <v>400</v>
      </c>
      <c r="M93" s="2"/>
      <c r="N93" s="2" t="s">
        <v>401</v>
      </c>
      <c r="O93" s="7">
        <v>576.0</v>
      </c>
      <c r="P93" s="2" t="b">
        <v>1</v>
      </c>
      <c r="R93" s="2" t="s">
        <v>267</v>
      </c>
    </row>
    <row r="94">
      <c r="A94" s="64" t="s">
        <v>402</v>
      </c>
      <c r="B94" s="7">
        <v>129.0</v>
      </c>
      <c r="C94" s="2" t="b">
        <v>1</v>
      </c>
      <c r="D94" s="100"/>
      <c r="E94" s="2" t="s">
        <v>403</v>
      </c>
      <c r="F94" s="7">
        <v>1012.0</v>
      </c>
      <c r="G94" s="2" t="b">
        <v>1</v>
      </c>
      <c r="I94" s="2" t="s">
        <v>285</v>
      </c>
      <c r="J94" s="7">
        <v>3004.52</v>
      </c>
      <c r="K94" s="2" t="b">
        <v>1</v>
      </c>
      <c r="L94" s="2" t="s">
        <v>33</v>
      </c>
      <c r="M94" s="2"/>
      <c r="N94" s="2" t="s">
        <v>363</v>
      </c>
      <c r="O94" s="7">
        <v>56.0</v>
      </c>
      <c r="P94" s="2" t="b">
        <v>1</v>
      </c>
      <c r="R94" s="2" t="s">
        <v>360</v>
      </c>
      <c r="S94" s="7">
        <v>47.31</v>
      </c>
      <c r="T94" s="2" t="b">
        <v>1</v>
      </c>
      <c r="U94" s="2" t="s">
        <v>33</v>
      </c>
    </row>
    <row r="95">
      <c r="A95" s="64" t="s">
        <v>283</v>
      </c>
      <c r="B95" s="7">
        <v>126.21</v>
      </c>
      <c r="C95" s="2" t="b">
        <v>1</v>
      </c>
      <c r="D95" s="100"/>
      <c r="E95" s="2" t="s">
        <v>404</v>
      </c>
      <c r="F95" s="7">
        <v>148.0</v>
      </c>
      <c r="G95" s="2" t="b">
        <v>1</v>
      </c>
      <c r="I95" s="2" t="s">
        <v>283</v>
      </c>
      <c r="J95" s="7">
        <v>49.95</v>
      </c>
      <c r="K95" s="2" t="b">
        <v>1</v>
      </c>
      <c r="L95" s="2" t="s">
        <v>33</v>
      </c>
      <c r="M95" s="2"/>
      <c r="N95" s="2" t="s">
        <v>405</v>
      </c>
      <c r="O95" s="7">
        <v>129.0</v>
      </c>
      <c r="P95" s="2" t="b">
        <v>1</v>
      </c>
      <c r="R95" s="2" t="s">
        <v>406</v>
      </c>
      <c r="S95" s="7">
        <v>193.0</v>
      </c>
      <c r="T95" s="2" t="b">
        <v>1</v>
      </c>
      <c r="U95" s="2" t="s">
        <v>33</v>
      </c>
    </row>
    <row r="96">
      <c r="A96" s="64" t="s">
        <v>202</v>
      </c>
      <c r="B96" s="7">
        <v>207.8</v>
      </c>
      <c r="C96" s="2" t="b">
        <v>1</v>
      </c>
      <c r="D96" s="100"/>
      <c r="E96" s="2" t="s">
        <v>57</v>
      </c>
      <c r="F96" s="7">
        <v>1176.13</v>
      </c>
      <c r="G96" s="2" t="b">
        <v>1</v>
      </c>
      <c r="I96" s="2" t="s">
        <v>407</v>
      </c>
      <c r="J96" s="7">
        <v>820.65</v>
      </c>
      <c r="K96" s="2" t="b">
        <v>1</v>
      </c>
      <c r="L96" s="2" t="s">
        <v>33</v>
      </c>
      <c r="M96" s="2"/>
      <c r="N96" s="2" t="s">
        <v>277</v>
      </c>
      <c r="O96" s="7">
        <v>47.0</v>
      </c>
      <c r="P96" s="2" t="b">
        <v>1</v>
      </c>
      <c r="R96" s="2" t="s">
        <v>360</v>
      </c>
      <c r="S96" s="7">
        <v>64.09</v>
      </c>
      <c r="T96" s="2" t="b">
        <v>1</v>
      </c>
      <c r="U96" s="2" t="s">
        <v>33</v>
      </c>
    </row>
    <row r="97">
      <c r="A97" s="64" t="s">
        <v>283</v>
      </c>
      <c r="B97" s="7">
        <v>126.21</v>
      </c>
      <c r="C97" s="2" t="b">
        <v>1</v>
      </c>
      <c r="D97" s="100"/>
      <c r="E97" s="2" t="s">
        <v>277</v>
      </c>
      <c r="F97" s="7">
        <v>116.0</v>
      </c>
      <c r="G97" s="2" t="b">
        <v>1</v>
      </c>
      <c r="I97" s="2" t="s">
        <v>57</v>
      </c>
      <c r="J97" s="7">
        <v>1023.72</v>
      </c>
      <c r="K97" s="2" t="b">
        <v>1</v>
      </c>
      <c r="L97" s="2" t="s">
        <v>33</v>
      </c>
      <c r="M97" s="2"/>
      <c r="N97" s="2" t="s">
        <v>317</v>
      </c>
      <c r="O97" s="7">
        <v>715.0</v>
      </c>
      <c r="P97" s="2" t="b">
        <v>1</v>
      </c>
      <c r="R97" s="2" t="s">
        <v>408</v>
      </c>
      <c r="S97" s="7">
        <v>359.0</v>
      </c>
      <c r="T97" s="2" t="b">
        <v>1</v>
      </c>
      <c r="U97" s="2" t="s">
        <v>33</v>
      </c>
    </row>
    <row r="98">
      <c r="A98" s="64" t="s">
        <v>366</v>
      </c>
      <c r="B98" s="7">
        <v>200.0</v>
      </c>
      <c r="C98" s="2" t="b">
        <v>1</v>
      </c>
      <c r="D98" s="100"/>
      <c r="E98" s="2" t="s">
        <v>409</v>
      </c>
      <c r="F98" s="7">
        <v>240.0</v>
      </c>
      <c r="G98" s="2" t="b">
        <v>1</v>
      </c>
      <c r="I98" s="2" t="s">
        <v>278</v>
      </c>
      <c r="J98" s="7">
        <v>482.0</v>
      </c>
      <c r="K98" s="2" t="b">
        <v>1</v>
      </c>
      <c r="L98" s="2" t="s">
        <v>33</v>
      </c>
      <c r="M98" s="64"/>
      <c r="N98" s="64" t="s">
        <v>410</v>
      </c>
      <c r="O98" s="7">
        <v>4500.0</v>
      </c>
      <c r="P98" s="2" t="b">
        <v>1</v>
      </c>
      <c r="R98" s="2" t="s">
        <v>411</v>
      </c>
      <c r="S98" s="7">
        <v>421.2</v>
      </c>
      <c r="T98" s="2" t="b">
        <v>1</v>
      </c>
      <c r="U98" s="2" t="s">
        <v>33</v>
      </c>
    </row>
    <row r="99">
      <c r="A99" s="64" t="s">
        <v>317</v>
      </c>
      <c r="B99" s="7">
        <v>357.5</v>
      </c>
      <c r="C99" s="2" t="b">
        <v>1</v>
      </c>
      <c r="D99" s="100"/>
      <c r="E99" s="2" t="s">
        <v>412</v>
      </c>
      <c r="F99" s="7">
        <v>147.94</v>
      </c>
      <c r="G99" s="2" t="b">
        <v>1</v>
      </c>
      <c r="I99" s="2" t="s">
        <v>382</v>
      </c>
      <c r="J99" s="7">
        <v>333.0</v>
      </c>
      <c r="K99" s="2" t="b">
        <v>1</v>
      </c>
      <c r="L99" s="2" t="s">
        <v>33</v>
      </c>
      <c r="M99" s="2"/>
      <c r="N99" s="2" t="s">
        <v>413</v>
      </c>
      <c r="O99" s="7">
        <v>827.0</v>
      </c>
      <c r="P99" s="2" t="b">
        <v>1</v>
      </c>
      <c r="R99" s="2" t="s">
        <v>414</v>
      </c>
      <c r="S99" s="7">
        <v>31.17</v>
      </c>
      <c r="T99" s="2" t="b">
        <v>1</v>
      </c>
      <c r="U99" s="2" t="s">
        <v>33</v>
      </c>
    </row>
    <row r="100">
      <c r="A100" s="64" t="s">
        <v>288</v>
      </c>
      <c r="B100" s="7">
        <v>32.0</v>
      </c>
      <c r="C100" s="2" t="b">
        <v>1</v>
      </c>
      <c r="D100" s="100"/>
      <c r="E100" s="2" t="s">
        <v>360</v>
      </c>
      <c r="F100" s="7">
        <v>57.94</v>
      </c>
      <c r="G100" s="2" t="b">
        <v>1</v>
      </c>
      <c r="I100" s="2" t="s">
        <v>283</v>
      </c>
      <c r="J100" s="7">
        <v>99.96</v>
      </c>
      <c r="K100" s="2" t="b">
        <v>1</v>
      </c>
      <c r="L100" s="2" t="s">
        <v>33</v>
      </c>
      <c r="M100" s="2"/>
      <c r="N100" s="2" t="s">
        <v>415</v>
      </c>
      <c r="O100" s="7">
        <v>1665.0</v>
      </c>
      <c r="P100" s="2" t="b">
        <v>1</v>
      </c>
      <c r="R100" s="2" t="s">
        <v>366</v>
      </c>
      <c r="S100" s="7">
        <v>6.5</v>
      </c>
      <c r="T100" s="2" t="b">
        <v>1</v>
      </c>
      <c r="U100" s="2" t="s">
        <v>33</v>
      </c>
    </row>
    <row r="101">
      <c r="A101" s="64" t="s">
        <v>288</v>
      </c>
      <c r="B101" s="7">
        <v>107.0</v>
      </c>
      <c r="C101" s="2" t="b">
        <v>1</v>
      </c>
      <c r="D101" s="100"/>
      <c r="E101" s="2" t="s">
        <v>283</v>
      </c>
      <c r="F101" s="7">
        <v>240.81</v>
      </c>
      <c r="G101" s="2" t="b">
        <v>1</v>
      </c>
      <c r="I101" s="2" t="s">
        <v>283</v>
      </c>
      <c r="J101" s="7">
        <v>89.94</v>
      </c>
      <c r="K101" s="2" t="b">
        <v>1</v>
      </c>
      <c r="L101" s="2" t="s">
        <v>33</v>
      </c>
      <c r="M101" s="2"/>
      <c r="N101" s="2" t="s">
        <v>416</v>
      </c>
      <c r="O101" s="7">
        <v>319.2</v>
      </c>
      <c r="P101" s="2" t="b">
        <v>1</v>
      </c>
      <c r="R101" s="2" t="s">
        <v>366</v>
      </c>
      <c r="S101" s="7">
        <v>399.9</v>
      </c>
      <c r="T101" s="2" t="b">
        <v>1</v>
      </c>
      <c r="U101" s="2" t="s">
        <v>33</v>
      </c>
    </row>
    <row r="102">
      <c r="A102" s="64" t="s">
        <v>417</v>
      </c>
      <c r="B102" s="7">
        <v>266.0</v>
      </c>
      <c r="C102" s="2" t="b">
        <v>1</v>
      </c>
      <c r="D102" s="100"/>
      <c r="E102" s="2" t="s">
        <v>418</v>
      </c>
      <c r="F102" s="7">
        <v>405.0</v>
      </c>
      <c r="G102" s="2" t="b">
        <v>1</v>
      </c>
      <c r="I102" s="2" t="s">
        <v>283</v>
      </c>
      <c r="J102" s="7">
        <v>99.97</v>
      </c>
      <c r="K102" s="2" t="b">
        <v>1</v>
      </c>
      <c r="L102" s="2" t="s">
        <v>33</v>
      </c>
      <c r="M102" s="2"/>
      <c r="N102" s="2" t="s">
        <v>419</v>
      </c>
      <c r="O102" s="7">
        <v>100.0</v>
      </c>
      <c r="P102" s="2" t="b">
        <v>1</v>
      </c>
      <c r="R102" s="2" t="s">
        <v>420</v>
      </c>
      <c r="S102" s="7">
        <v>225.5</v>
      </c>
      <c r="T102" s="2" t="b">
        <v>1</v>
      </c>
      <c r="U102" s="2" t="s">
        <v>33</v>
      </c>
    </row>
    <row r="103">
      <c r="A103" s="64" t="s">
        <v>421</v>
      </c>
      <c r="B103" s="7">
        <v>293.5</v>
      </c>
      <c r="C103" s="2" t="b">
        <v>1</v>
      </c>
      <c r="D103" s="100"/>
      <c r="E103" s="2" t="s">
        <v>288</v>
      </c>
      <c r="F103" s="7">
        <v>40.0</v>
      </c>
      <c r="G103" s="2" t="b">
        <v>1</v>
      </c>
      <c r="I103" s="2" t="s">
        <v>283</v>
      </c>
      <c r="J103" s="7">
        <v>79.97</v>
      </c>
      <c r="K103" s="2" t="b">
        <v>1</v>
      </c>
      <c r="L103" s="2" t="s">
        <v>33</v>
      </c>
      <c r="M103" s="2"/>
      <c r="N103" s="2" t="s">
        <v>422</v>
      </c>
      <c r="O103" s="7">
        <v>375.0</v>
      </c>
      <c r="P103" s="2" t="b">
        <v>1</v>
      </c>
      <c r="R103" s="2" t="s">
        <v>57</v>
      </c>
      <c r="S103" s="7">
        <v>1256.82</v>
      </c>
      <c r="T103" s="2" t="b">
        <v>1</v>
      </c>
      <c r="U103" s="2" t="s">
        <v>33</v>
      </c>
    </row>
    <row r="104">
      <c r="A104" s="64" t="s">
        <v>333</v>
      </c>
      <c r="B104" s="7">
        <v>251.0</v>
      </c>
      <c r="C104" s="2" t="b">
        <v>1</v>
      </c>
      <c r="D104" s="100"/>
      <c r="E104" s="2" t="s">
        <v>423</v>
      </c>
      <c r="F104" s="7">
        <v>428.0</v>
      </c>
      <c r="G104" s="2" t="b">
        <v>1</v>
      </c>
      <c r="I104" s="2" t="s">
        <v>283</v>
      </c>
      <c r="J104" s="7">
        <v>368.71</v>
      </c>
      <c r="K104" s="2" t="b">
        <v>1</v>
      </c>
      <c r="L104" s="2" t="s">
        <v>33</v>
      </c>
      <c r="M104" s="2"/>
      <c r="N104" s="2" t="s">
        <v>290</v>
      </c>
      <c r="O104" s="7">
        <v>111.0</v>
      </c>
      <c r="P104" s="2" t="b">
        <v>1</v>
      </c>
      <c r="R104" s="2" t="s">
        <v>63</v>
      </c>
      <c r="S104" s="7">
        <v>666.0</v>
      </c>
      <c r="T104" s="2" t="b">
        <v>1</v>
      </c>
      <c r="U104" s="2" t="s">
        <v>33</v>
      </c>
    </row>
    <row r="105">
      <c r="A105" s="64" t="s">
        <v>333</v>
      </c>
      <c r="B105" s="7">
        <v>58.8</v>
      </c>
      <c r="C105" s="2" t="b">
        <v>1</v>
      </c>
      <c r="D105" s="100"/>
      <c r="E105" s="2" t="s">
        <v>277</v>
      </c>
      <c r="F105" s="7">
        <v>10.0</v>
      </c>
      <c r="G105" s="2" t="b">
        <v>1</v>
      </c>
      <c r="I105" s="2" t="s">
        <v>57</v>
      </c>
      <c r="J105" s="7">
        <v>1247.65</v>
      </c>
      <c r="K105" s="2" t="b">
        <v>1</v>
      </c>
      <c r="L105" s="2" t="s">
        <v>33</v>
      </c>
      <c r="M105" s="2"/>
      <c r="N105" s="2" t="s">
        <v>424</v>
      </c>
      <c r="O105" s="7">
        <v>151.03</v>
      </c>
      <c r="P105" s="2" t="b">
        <v>1</v>
      </c>
      <c r="R105" s="2" t="s">
        <v>202</v>
      </c>
      <c r="S105" s="7">
        <v>313.18</v>
      </c>
      <c r="T105" s="2" t="b">
        <v>1</v>
      </c>
      <c r="U105" s="2" t="s">
        <v>110</v>
      </c>
    </row>
    <row r="106">
      <c r="A106" s="64" t="s">
        <v>285</v>
      </c>
      <c r="B106" s="7">
        <v>142.0</v>
      </c>
      <c r="C106" s="2" t="b">
        <v>1</v>
      </c>
      <c r="D106" s="100"/>
      <c r="E106" s="2" t="s">
        <v>283</v>
      </c>
      <c r="F106" s="7">
        <v>119.37</v>
      </c>
      <c r="G106" s="2" t="b">
        <v>1</v>
      </c>
      <c r="I106" s="2" t="s">
        <v>202</v>
      </c>
      <c r="J106" s="7">
        <f>333.9</f>
        <v>333.9</v>
      </c>
      <c r="K106" s="2" t="b">
        <v>1</v>
      </c>
      <c r="L106" s="2" t="s">
        <v>33</v>
      </c>
      <c r="M106" s="2"/>
      <c r="N106" s="2" t="s">
        <v>425</v>
      </c>
      <c r="O106" s="7">
        <v>2500.0</v>
      </c>
      <c r="P106" s="2" t="b">
        <v>1</v>
      </c>
      <c r="R106" s="2" t="s">
        <v>328</v>
      </c>
      <c r="S106" s="7">
        <v>76.0</v>
      </c>
      <c r="T106" s="2" t="b">
        <v>1</v>
      </c>
      <c r="U106" s="2" t="s">
        <v>110</v>
      </c>
    </row>
    <row r="107">
      <c r="A107" s="64" t="s">
        <v>426</v>
      </c>
      <c r="B107" s="7">
        <v>523.2</v>
      </c>
      <c r="C107" s="2" t="b">
        <v>1</v>
      </c>
      <c r="D107" s="100"/>
      <c r="E107" s="2" t="s">
        <v>427</v>
      </c>
      <c r="F107" s="7">
        <v>270.44</v>
      </c>
      <c r="G107" s="2" t="b">
        <v>1</v>
      </c>
      <c r="I107" s="2" t="s">
        <v>428</v>
      </c>
      <c r="J107" s="7">
        <v>2293.0</v>
      </c>
      <c r="K107" s="2" t="b">
        <v>1</v>
      </c>
      <c r="L107" s="2" t="s">
        <v>110</v>
      </c>
      <c r="M107" s="2"/>
      <c r="N107" s="2" t="s">
        <v>419</v>
      </c>
      <c r="O107" s="7">
        <v>200.0</v>
      </c>
      <c r="P107" s="2" t="b">
        <v>1</v>
      </c>
      <c r="R107" s="2" t="s">
        <v>290</v>
      </c>
      <c r="S107" s="7">
        <v>111.0</v>
      </c>
      <c r="T107" s="2" t="b">
        <v>1</v>
      </c>
      <c r="U107" s="2" t="s">
        <v>110</v>
      </c>
    </row>
    <row r="108">
      <c r="A108" s="64" t="s">
        <v>317</v>
      </c>
      <c r="B108" s="7">
        <v>224.3</v>
      </c>
      <c r="C108" s="2" t="b">
        <v>1</v>
      </c>
      <c r="D108" s="100"/>
      <c r="E108" s="2" t="s">
        <v>283</v>
      </c>
      <c r="F108" s="7">
        <v>100.51</v>
      </c>
      <c r="G108" s="2" t="b">
        <v>1</v>
      </c>
      <c r="I108" s="2" t="s">
        <v>419</v>
      </c>
      <c r="J108" s="7">
        <v>52.0</v>
      </c>
      <c r="K108" s="2" t="b">
        <v>1</v>
      </c>
      <c r="L108" s="2" t="s">
        <v>110</v>
      </c>
      <c r="M108" s="2"/>
      <c r="N108" s="2" t="s">
        <v>296</v>
      </c>
      <c r="O108" s="7">
        <v>215.0</v>
      </c>
      <c r="P108" s="2" t="b">
        <v>1</v>
      </c>
      <c r="R108" s="2" t="s">
        <v>290</v>
      </c>
      <c r="S108" s="7">
        <v>422.0</v>
      </c>
      <c r="T108" s="2" t="b">
        <v>1</v>
      </c>
      <c r="U108" s="2" t="s">
        <v>110</v>
      </c>
    </row>
    <row r="109">
      <c r="A109" s="64" t="s">
        <v>283</v>
      </c>
      <c r="B109" s="7">
        <v>118.98</v>
      </c>
      <c r="C109" s="2" t="b">
        <v>1</v>
      </c>
      <c r="D109" s="100"/>
      <c r="E109" s="2" t="s">
        <v>283</v>
      </c>
      <c r="F109" s="7">
        <v>124.14</v>
      </c>
      <c r="G109" s="2" t="b">
        <v>1</v>
      </c>
      <c r="I109" s="2" t="s">
        <v>429</v>
      </c>
      <c r="J109" s="7">
        <v>379.1</v>
      </c>
      <c r="K109" s="2" t="b">
        <v>1</v>
      </c>
      <c r="L109" s="2" t="s">
        <v>110</v>
      </c>
      <c r="M109" s="2"/>
      <c r="N109" s="2" t="s">
        <v>382</v>
      </c>
      <c r="O109" s="7">
        <v>319.9</v>
      </c>
      <c r="P109" s="2" t="b">
        <v>1</v>
      </c>
      <c r="R109" s="2" t="s">
        <v>419</v>
      </c>
      <c r="S109" s="7">
        <v>85.0</v>
      </c>
      <c r="T109" s="2" t="b">
        <v>1</v>
      </c>
      <c r="U109" s="2" t="s">
        <v>110</v>
      </c>
    </row>
    <row r="110">
      <c r="A110" s="2" t="s">
        <v>289</v>
      </c>
      <c r="B110" s="7">
        <v>76.96</v>
      </c>
      <c r="C110" s="2" t="b">
        <v>1</v>
      </c>
      <c r="D110" s="100"/>
      <c r="E110" s="2" t="s">
        <v>283</v>
      </c>
      <c r="F110" s="8">
        <f>35.07+39.24</f>
        <v>74.31</v>
      </c>
      <c r="G110" s="2" t="b">
        <v>1</v>
      </c>
      <c r="I110" s="2" t="s">
        <v>285</v>
      </c>
      <c r="J110" s="7">
        <v>149.0</v>
      </c>
      <c r="K110" s="2" t="b">
        <v>1</v>
      </c>
      <c r="L110" s="2" t="s">
        <v>110</v>
      </c>
      <c r="M110" s="2"/>
      <c r="N110" s="2" t="s">
        <v>430</v>
      </c>
      <c r="O110" s="7">
        <v>16.43</v>
      </c>
      <c r="P110" s="2" t="b">
        <v>1</v>
      </c>
      <c r="R110" s="2" t="s">
        <v>431</v>
      </c>
      <c r="S110" s="7">
        <v>597.0</v>
      </c>
      <c r="T110" s="2" t="b">
        <v>1</v>
      </c>
      <c r="U110" s="2" t="s">
        <v>110</v>
      </c>
    </row>
    <row r="111">
      <c r="A111" s="2" t="s">
        <v>432</v>
      </c>
      <c r="B111" s="7">
        <v>377.0</v>
      </c>
      <c r="C111" s="2" t="b">
        <v>1</v>
      </c>
      <c r="D111" s="100"/>
      <c r="E111" s="2" t="s">
        <v>433</v>
      </c>
      <c r="F111" s="7">
        <v>63.0</v>
      </c>
      <c r="G111" s="2" t="b">
        <v>1</v>
      </c>
      <c r="J111" s="8"/>
      <c r="K111" s="2" t="b">
        <v>1</v>
      </c>
      <c r="L111" s="2" t="s">
        <v>110</v>
      </c>
      <c r="M111" s="2"/>
      <c r="N111" s="2" t="s">
        <v>434</v>
      </c>
      <c r="O111" s="7">
        <v>39.06</v>
      </c>
      <c r="P111" s="2" t="b">
        <v>1</v>
      </c>
      <c r="R111" s="2" t="s">
        <v>431</v>
      </c>
      <c r="S111" s="7">
        <v>598.0</v>
      </c>
      <c r="T111" s="2" t="b">
        <v>1</v>
      </c>
      <c r="U111" s="2" t="s">
        <v>110</v>
      </c>
    </row>
    <row r="112">
      <c r="A112" s="2" t="s">
        <v>435</v>
      </c>
      <c r="B112" s="7">
        <v>297.0</v>
      </c>
      <c r="C112" s="2" t="b">
        <v>1</v>
      </c>
      <c r="D112" s="100"/>
      <c r="E112" s="2" t="s">
        <v>57</v>
      </c>
      <c r="F112" s="7">
        <v>1173.77</v>
      </c>
      <c r="G112" s="2" t="b">
        <v>1</v>
      </c>
      <c r="I112" s="2" t="s">
        <v>278</v>
      </c>
      <c r="J112" s="7">
        <v>100.0</v>
      </c>
      <c r="K112" s="2" t="b">
        <v>1</v>
      </c>
      <c r="L112" s="2" t="s">
        <v>110</v>
      </c>
      <c r="M112" s="2"/>
      <c r="N112" s="2" t="s">
        <v>434</v>
      </c>
      <c r="O112" s="7">
        <v>16.19</v>
      </c>
      <c r="P112" s="2" t="b">
        <v>1</v>
      </c>
      <c r="R112" s="2" t="s">
        <v>436</v>
      </c>
      <c r="S112" s="7">
        <v>262.69</v>
      </c>
      <c r="T112" s="2" t="b">
        <v>1</v>
      </c>
      <c r="U112" s="2" t="s">
        <v>110</v>
      </c>
    </row>
    <row r="113">
      <c r="A113" s="2" t="s">
        <v>437</v>
      </c>
      <c r="B113" s="7">
        <v>714.0</v>
      </c>
      <c r="C113" s="2" t="b">
        <v>1</v>
      </c>
      <c r="D113" s="100"/>
      <c r="E113" s="2" t="s">
        <v>283</v>
      </c>
      <c r="F113" s="7">
        <v>97.56</v>
      </c>
      <c r="G113" s="2" t="b">
        <v>1</v>
      </c>
      <c r="I113" s="2" t="s">
        <v>25</v>
      </c>
      <c r="J113" s="7">
        <v>1187.0</v>
      </c>
      <c r="K113" s="2" t="b">
        <v>1</v>
      </c>
      <c r="L113" s="2" t="s">
        <v>145</v>
      </c>
      <c r="M113" s="2"/>
      <c r="N113" s="2" t="s">
        <v>438</v>
      </c>
      <c r="O113" s="7">
        <v>250.56</v>
      </c>
      <c r="P113" s="2" t="b">
        <v>1</v>
      </c>
      <c r="R113" s="2" t="s">
        <v>439</v>
      </c>
      <c r="S113" s="98">
        <v>6340.0</v>
      </c>
      <c r="T113" s="2" t="b">
        <v>1</v>
      </c>
      <c r="U113" s="2" t="s">
        <v>145</v>
      </c>
    </row>
    <row r="114">
      <c r="A114" s="2" t="s">
        <v>440</v>
      </c>
      <c r="B114" s="7">
        <v>499.0</v>
      </c>
      <c r="C114" s="2" t="b">
        <v>1</v>
      </c>
      <c r="D114" s="100"/>
      <c r="E114" s="2" t="s">
        <v>382</v>
      </c>
      <c r="F114" s="7">
        <v>326.13</v>
      </c>
      <c r="G114" s="2" t="b">
        <v>1</v>
      </c>
      <c r="I114" s="2" t="s">
        <v>441</v>
      </c>
      <c r="J114" s="7">
        <v>425.0</v>
      </c>
      <c r="K114" s="2" t="b">
        <v>1</v>
      </c>
      <c r="L114" s="2" t="s">
        <v>33</v>
      </c>
      <c r="M114" s="2"/>
      <c r="N114" s="2" t="s">
        <v>419</v>
      </c>
      <c r="O114" s="7">
        <v>129.0</v>
      </c>
      <c r="P114" s="2" t="b">
        <v>1</v>
      </c>
      <c r="R114" s="2" t="s">
        <v>73</v>
      </c>
      <c r="S114" s="7">
        <v>2000.0</v>
      </c>
      <c r="T114" s="2" t="b">
        <v>1</v>
      </c>
      <c r="U114" s="2" t="s">
        <v>33</v>
      </c>
    </row>
    <row r="115">
      <c r="A115" s="2" t="s">
        <v>442</v>
      </c>
      <c r="B115" s="7">
        <v>406.0</v>
      </c>
      <c r="C115" s="2" t="b">
        <v>1</v>
      </c>
      <c r="D115" s="100"/>
      <c r="E115" s="2" t="s">
        <v>283</v>
      </c>
      <c r="F115" s="2">
        <v>115.88</v>
      </c>
      <c r="G115" s="2" t="b">
        <v>1</v>
      </c>
      <c r="I115" s="2" t="s">
        <v>258</v>
      </c>
      <c r="J115" s="7">
        <v>211.88</v>
      </c>
      <c r="K115" s="2" t="b">
        <v>1</v>
      </c>
      <c r="L115" s="2" t="s">
        <v>33</v>
      </c>
      <c r="P115" s="8"/>
      <c r="R115" s="2" t="s">
        <v>443</v>
      </c>
      <c r="S115" s="7">
        <v>350.0</v>
      </c>
      <c r="T115" s="2" t="b">
        <v>1</v>
      </c>
      <c r="U115" s="2" t="s">
        <v>33</v>
      </c>
    </row>
    <row r="116">
      <c r="A116" s="2" t="s">
        <v>444</v>
      </c>
      <c r="B116" s="7">
        <v>252.0</v>
      </c>
      <c r="C116" s="2" t="b">
        <v>1</v>
      </c>
      <c r="D116" s="2" t="s">
        <v>445</v>
      </c>
      <c r="E116" s="2" t="s">
        <v>382</v>
      </c>
      <c r="F116" s="2">
        <v>668.17</v>
      </c>
      <c r="G116" s="2" t="b">
        <v>1</v>
      </c>
      <c r="I116" s="2" t="s">
        <v>288</v>
      </c>
      <c r="J116" s="7">
        <v>151.0</v>
      </c>
      <c r="K116" s="2" t="b">
        <v>1</v>
      </c>
      <c r="L116" s="2" t="s">
        <v>33</v>
      </c>
      <c r="P116" s="8"/>
      <c r="R116" s="2" t="s">
        <v>446</v>
      </c>
      <c r="S116" s="7">
        <v>232.74</v>
      </c>
      <c r="T116" s="2" t="b">
        <v>1</v>
      </c>
      <c r="U116" s="2" t="s">
        <v>33</v>
      </c>
    </row>
    <row r="117">
      <c r="A117" s="2" t="s">
        <v>447</v>
      </c>
      <c r="B117" s="7">
        <v>270.0</v>
      </c>
      <c r="C117" s="2" t="b">
        <v>1</v>
      </c>
      <c r="D117" s="2" t="s">
        <v>448</v>
      </c>
      <c r="E117" s="2" t="s">
        <v>328</v>
      </c>
      <c r="F117" s="7">
        <v>168.0</v>
      </c>
      <c r="G117" s="2" t="b">
        <v>1</v>
      </c>
      <c r="I117" s="2" t="s">
        <v>449</v>
      </c>
      <c r="J117" s="7">
        <v>2540.0</v>
      </c>
      <c r="K117" s="2" t="b">
        <v>1</v>
      </c>
      <c r="L117" s="2" t="s">
        <v>145</v>
      </c>
      <c r="P117" s="8"/>
      <c r="R117" s="2" t="s">
        <v>450</v>
      </c>
      <c r="S117" s="7">
        <v>120.0</v>
      </c>
      <c r="T117" s="2" t="b">
        <v>1</v>
      </c>
      <c r="U117" s="2" t="s">
        <v>33</v>
      </c>
    </row>
    <row r="118">
      <c r="A118" s="2" t="s">
        <v>73</v>
      </c>
      <c r="B118" s="7">
        <v>0.0</v>
      </c>
      <c r="C118" s="2" t="b">
        <v>1</v>
      </c>
      <c r="E118" s="2" t="s">
        <v>451</v>
      </c>
      <c r="F118" s="7">
        <v>100.0</v>
      </c>
      <c r="G118" s="2" t="b">
        <v>1</v>
      </c>
      <c r="I118" s="2" t="s">
        <v>258</v>
      </c>
      <c r="J118" s="7">
        <v>537.22</v>
      </c>
      <c r="K118" s="2" t="b">
        <v>1</v>
      </c>
      <c r="L118" s="2" t="s">
        <v>33</v>
      </c>
      <c r="P118" s="8"/>
      <c r="R118" s="2" t="s">
        <v>366</v>
      </c>
      <c r="S118" s="8">
        <f>128.5+32.5</f>
        <v>161</v>
      </c>
      <c r="T118" s="2" t="b">
        <v>1</v>
      </c>
      <c r="U118" s="2" t="s">
        <v>33</v>
      </c>
    </row>
    <row r="119">
      <c r="A119" s="2" t="s">
        <v>290</v>
      </c>
      <c r="B119" s="7">
        <v>87.0</v>
      </c>
      <c r="C119" s="2" t="b">
        <v>1</v>
      </c>
      <c r="D119" s="100"/>
      <c r="E119" s="2" t="s">
        <v>451</v>
      </c>
      <c r="F119" s="7">
        <v>338.0</v>
      </c>
      <c r="G119" s="2" t="b">
        <v>1</v>
      </c>
      <c r="I119" s="2" t="s">
        <v>364</v>
      </c>
      <c r="J119" s="7">
        <v>45.0</v>
      </c>
      <c r="K119" s="2" t="b">
        <v>1</v>
      </c>
      <c r="L119" s="2" t="s">
        <v>33</v>
      </c>
      <c r="P119" s="8"/>
      <c r="R119" s="64" t="s">
        <v>452</v>
      </c>
      <c r="S119" s="7">
        <v>2492.0</v>
      </c>
      <c r="T119" s="2" t="b">
        <v>1</v>
      </c>
      <c r="U119" s="2" t="s">
        <v>110</v>
      </c>
    </row>
    <row r="120">
      <c r="A120" s="2" t="s">
        <v>453</v>
      </c>
      <c r="B120" s="7">
        <v>65.0</v>
      </c>
      <c r="C120" s="2" t="b">
        <v>1</v>
      </c>
      <c r="D120" s="100"/>
      <c r="E120" s="2" t="s">
        <v>451</v>
      </c>
      <c r="F120" s="7">
        <v>45.0</v>
      </c>
      <c r="G120" s="2" t="b">
        <v>1</v>
      </c>
      <c r="I120" s="2" t="s">
        <v>283</v>
      </c>
      <c r="J120" s="7">
        <v>209.71</v>
      </c>
      <c r="K120" s="2" t="b">
        <v>1</v>
      </c>
      <c r="L120" s="2" t="s">
        <v>33</v>
      </c>
      <c r="P120" s="8"/>
      <c r="R120" s="2" t="s">
        <v>454</v>
      </c>
      <c r="S120" s="7">
        <v>285.0</v>
      </c>
      <c r="T120" s="2" t="b">
        <v>1</v>
      </c>
      <c r="U120" s="2" t="s">
        <v>110</v>
      </c>
    </row>
    <row r="121">
      <c r="A121" s="2" t="s">
        <v>290</v>
      </c>
      <c r="B121" s="7">
        <v>295.0</v>
      </c>
      <c r="C121" s="2" t="b">
        <v>1</v>
      </c>
      <c r="D121" s="100"/>
      <c r="E121" s="2" t="s">
        <v>283</v>
      </c>
      <c r="F121" s="7">
        <v>78.0</v>
      </c>
      <c r="G121" s="2" t="b">
        <v>1</v>
      </c>
      <c r="I121" s="2" t="s">
        <v>32</v>
      </c>
      <c r="J121" s="7">
        <v>398.0</v>
      </c>
      <c r="K121" s="2" t="b">
        <v>1</v>
      </c>
      <c r="L121" s="2" t="s">
        <v>33</v>
      </c>
      <c r="P121" s="8"/>
      <c r="R121" s="2" t="s">
        <v>419</v>
      </c>
      <c r="S121" s="7">
        <v>50.0</v>
      </c>
      <c r="T121" s="2" t="b">
        <v>1</v>
      </c>
      <c r="U121" s="2" t="s">
        <v>176</v>
      </c>
    </row>
    <row r="122">
      <c r="A122" s="2" t="s">
        <v>315</v>
      </c>
      <c r="B122" s="7">
        <v>96.0</v>
      </c>
      <c r="C122" s="2" t="b">
        <v>1</v>
      </c>
      <c r="D122" s="100"/>
      <c r="E122" s="2" t="s">
        <v>283</v>
      </c>
      <c r="F122" s="7">
        <v>81.91</v>
      </c>
      <c r="G122" s="2" t="b">
        <v>1</v>
      </c>
      <c r="I122" s="2" t="s">
        <v>349</v>
      </c>
      <c r="J122" s="7">
        <v>174.75</v>
      </c>
      <c r="K122" s="2" t="b">
        <v>1</v>
      </c>
      <c r="L122" s="2" t="s">
        <v>33</v>
      </c>
      <c r="P122" s="8"/>
      <c r="R122" s="2" t="s">
        <v>32</v>
      </c>
      <c r="S122" s="7">
        <v>398.0</v>
      </c>
      <c r="T122" s="2" t="b">
        <v>1</v>
      </c>
      <c r="U122" s="2" t="s">
        <v>33</v>
      </c>
    </row>
    <row r="123">
      <c r="A123" s="2" t="s">
        <v>455</v>
      </c>
      <c r="B123" s="7">
        <v>592.49</v>
      </c>
      <c r="C123" s="2" t="b">
        <v>1</v>
      </c>
      <c r="D123" s="100"/>
      <c r="E123" s="2" t="s">
        <v>456</v>
      </c>
      <c r="F123" s="7">
        <v>623.9</v>
      </c>
      <c r="G123" s="2" t="b">
        <v>1</v>
      </c>
      <c r="I123" s="2" t="s">
        <v>457</v>
      </c>
      <c r="J123" s="7">
        <v>190.3</v>
      </c>
      <c r="K123" s="2" t="b">
        <v>1</v>
      </c>
      <c r="L123" s="2" t="s">
        <v>33</v>
      </c>
      <c r="P123" s="8"/>
      <c r="R123" s="2" t="s">
        <v>458</v>
      </c>
      <c r="S123" s="7">
        <v>552.0</v>
      </c>
      <c r="T123" s="2" t="b">
        <v>1</v>
      </c>
      <c r="U123" s="2" t="s">
        <v>33</v>
      </c>
    </row>
    <row r="124">
      <c r="A124" s="2" t="s">
        <v>290</v>
      </c>
      <c r="B124" s="7">
        <v>87.0</v>
      </c>
      <c r="C124" s="2" t="b">
        <v>1</v>
      </c>
      <c r="D124" s="100"/>
      <c r="E124" s="2" t="s">
        <v>274</v>
      </c>
      <c r="F124" s="7">
        <v>24.9</v>
      </c>
      <c r="G124" s="2" t="b">
        <v>1</v>
      </c>
      <c r="I124" s="2" t="s">
        <v>285</v>
      </c>
      <c r="J124" s="7">
        <v>142.0</v>
      </c>
      <c r="K124" s="2" t="b">
        <v>1</v>
      </c>
      <c r="L124" s="2" t="s">
        <v>33</v>
      </c>
      <c r="P124" s="8"/>
      <c r="R124" s="2" t="s">
        <v>449</v>
      </c>
      <c r="S124" s="7">
        <v>2540.0</v>
      </c>
      <c r="T124" s="2" t="b">
        <v>1</v>
      </c>
      <c r="U124" s="2" t="s">
        <v>145</v>
      </c>
    </row>
    <row r="125">
      <c r="A125" s="2" t="s">
        <v>459</v>
      </c>
      <c r="B125" s="7">
        <v>22.0</v>
      </c>
      <c r="C125" s="2" t="b">
        <v>1</v>
      </c>
      <c r="D125" s="100"/>
      <c r="E125" s="2" t="s">
        <v>378</v>
      </c>
      <c r="F125" s="7">
        <v>85.06</v>
      </c>
      <c r="G125" s="2" t="b">
        <v>1</v>
      </c>
      <c r="I125" s="2" t="s">
        <v>460</v>
      </c>
      <c r="J125" s="7">
        <v>218.0</v>
      </c>
      <c r="K125" s="2" t="b">
        <v>1</v>
      </c>
      <c r="L125" s="2" t="s">
        <v>33</v>
      </c>
      <c r="P125" s="8"/>
      <c r="R125" s="2" t="s">
        <v>461</v>
      </c>
      <c r="S125" s="7">
        <v>2000.0</v>
      </c>
      <c r="T125" s="2" t="b">
        <v>1</v>
      </c>
      <c r="U125" s="2" t="s">
        <v>145</v>
      </c>
    </row>
    <row r="126">
      <c r="A126" s="2" t="s">
        <v>462</v>
      </c>
      <c r="B126" s="7">
        <v>401.4</v>
      </c>
      <c r="C126" s="2" t="b">
        <v>1</v>
      </c>
      <c r="E126" s="2" t="s">
        <v>32</v>
      </c>
      <c r="F126" s="7">
        <v>398.0</v>
      </c>
      <c r="G126" s="2" t="b">
        <v>1</v>
      </c>
      <c r="I126" s="2" t="s">
        <v>419</v>
      </c>
      <c r="J126" s="7">
        <v>70.0</v>
      </c>
      <c r="K126" s="2" t="b">
        <v>1</v>
      </c>
      <c r="L126" s="2" t="s">
        <v>110</v>
      </c>
      <c r="P126" s="8"/>
      <c r="R126" s="2" t="s">
        <v>290</v>
      </c>
      <c r="S126" s="7">
        <v>78.0</v>
      </c>
      <c r="T126" s="2" t="b">
        <v>1</v>
      </c>
      <c r="U126" s="2" t="s">
        <v>33</v>
      </c>
    </row>
    <row r="127">
      <c r="A127" s="2" t="s">
        <v>32</v>
      </c>
      <c r="B127" s="7">
        <v>398.0</v>
      </c>
      <c r="C127" s="2" t="b">
        <v>1</v>
      </c>
      <c r="E127" s="2" t="s">
        <v>463</v>
      </c>
      <c r="F127" s="7">
        <v>245.5</v>
      </c>
      <c r="G127" s="2" t="b">
        <v>1</v>
      </c>
      <c r="I127" s="2" t="s">
        <v>319</v>
      </c>
      <c r="J127" s="7">
        <v>135.0</v>
      </c>
      <c r="K127" s="2" t="b">
        <v>1</v>
      </c>
      <c r="L127" s="2" t="s">
        <v>110</v>
      </c>
      <c r="P127" s="8"/>
      <c r="R127" s="2" t="s">
        <v>464</v>
      </c>
      <c r="S127" s="7">
        <v>214.54</v>
      </c>
      <c r="T127" s="2" t="b">
        <v>1</v>
      </c>
      <c r="U127" s="2" t="s">
        <v>33</v>
      </c>
    </row>
    <row r="128">
      <c r="A128" s="64" t="s">
        <v>465</v>
      </c>
      <c r="B128" s="7">
        <v>1092.0</v>
      </c>
      <c r="C128" s="2" t="b">
        <v>1</v>
      </c>
      <c r="E128" s="2" t="s">
        <v>283</v>
      </c>
      <c r="F128" s="7">
        <v>56.52</v>
      </c>
      <c r="G128" s="2" t="b">
        <v>1</v>
      </c>
      <c r="I128" s="2" t="s">
        <v>428</v>
      </c>
      <c r="J128" s="7">
        <v>135.0</v>
      </c>
      <c r="K128" s="2" t="b">
        <v>1</v>
      </c>
      <c r="L128" s="2" t="s">
        <v>110</v>
      </c>
      <c r="P128" s="8"/>
      <c r="R128" s="2" t="s">
        <v>466</v>
      </c>
      <c r="S128" s="7">
        <v>248.0</v>
      </c>
      <c r="T128" s="2" t="b">
        <v>1</v>
      </c>
      <c r="U128" s="2" t="s">
        <v>33</v>
      </c>
    </row>
    <row r="129">
      <c r="A129" s="64" t="s">
        <v>467</v>
      </c>
      <c r="B129" s="7">
        <v>1557.96</v>
      </c>
      <c r="C129" s="2" t="b">
        <v>1</v>
      </c>
      <c r="E129" s="2" t="s">
        <v>283</v>
      </c>
      <c r="F129" s="7">
        <v>61.8</v>
      </c>
      <c r="G129" s="2" t="b">
        <v>1</v>
      </c>
      <c r="I129" s="2" t="s">
        <v>428</v>
      </c>
      <c r="J129" s="7">
        <v>59.0</v>
      </c>
      <c r="K129" s="2" t="b">
        <v>1</v>
      </c>
      <c r="L129" s="2" t="s">
        <v>110</v>
      </c>
      <c r="P129" s="8"/>
      <c r="R129" s="2" t="s">
        <v>468</v>
      </c>
      <c r="S129" s="7">
        <v>726.0</v>
      </c>
      <c r="T129" s="2" t="b">
        <v>1</v>
      </c>
      <c r="U129" s="2" t="s">
        <v>33</v>
      </c>
    </row>
    <row r="130">
      <c r="A130" s="2" t="s">
        <v>364</v>
      </c>
      <c r="B130" s="7">
        <v>104.0</v>
      </c>
      <c r="C130" s="2" t="b">
        <v>1</v>
      </c>
      <c r="E130" s="2" t="s">
        <v>469</v>
      </c>
      <c r="F130" s="7">
        <v>965.12</v>
      </c>
      <c r="G130" s="2" t="b">
        <v>1</v>
      </c>
      <c r="I130" s="2" t="s">
        <v>390</v>
      </c>
      <c r="J130" s="7">
        <v>200.0</v>
      </c>
      <c r="K130" s="2" t="b">
        <v>1</v>
      </c>
      <c r="L130" s="2" t="s">
        <v>110</v>
      </c>
      <c r="P130" s="8"/>
      <c r="R130" s="2" t="s">
        <v>57</v>
      </c>
      <c r="S130" s="7">
        <v>1232.84</v>
      </c>
      <c r="T130" s="2" t="b">
        <v>1</v>
      </c>
      <c r="U130" s="2" t="s">
        <v>33</v>
      </c>
    </row>
    <row r="131">
      <c r="A131" s="2" t="s">
        <v>470</v>
      </c>
      <c r="B131" s="7">
        <v>111.0</v>
      </c>
      <c r="C131" s="2" t="b">
        <v>1</v>
      </c>
      <c r="E131" s="2" t="s">
        <v>283</v>
      </c>
      <c r="F131" s="7">
        <v>49.92</v>
      </c>
      <c r="G131" s="2" t="b">
        <v>1</v>
      </c>
      <c r="I131" s="2" t="s">
        <v>290</v>
      </c>
      <c r="J131" s="7">
        <v>99.0</v>
      </c>
      <c r="K131" s="2" t="b">
        <v>1</v>
      </c>
      <c r="L131" s="2" t="s">
        <v>110</v>
      </c>
      <c r="P131" s="8"/>
      <c r="R131" s="2" t="s">
        <v>471</v>
      </c>
      <c r="S131" s="7">
        <v>232.0</v>
      </c>
      <c r="T131" s="2" t="b">
        <v>1</v>
      </c>
      <c r="U131" s="2" t="s">
        <v>33</v>
      </c>
    </row>
    <row r="132">
      <c r="A132" s="2" t="s">
        <v>288</v>
      </c>
      <c r="B132" s="7">
        <v>58.0</v>
      </c>
      <c r="C132" s="2" t="b">
        <v>1</v>
      </c>
      <c r="E132" s="2" t="s">
        <v>323</v>
      </c>
      <c r="F132" s="7">
        <v>92.1</v>
      </c>
      <c r="G132" s="2" t="b">
        <v>1</v>
      </c>
      <c r="I132" s="2" t="s">
        <v>472</v>
      </c>
      <c r="J132" s="7">
        <v>1610.41</v>
      </c>
      <c r="K132" s="2" t="b">
        <v>1</v>
      </c>
      <c r="L132" s="2" t="s">
        <v>110</v>
      </c>
      <c r="P132" s="8"/>
      <c r="R132" s="2" t="s">
        <v>473</v>
      </c>
      <c r="S132" s="7">
        <v>174.0</v>
      </c>
      <c r="T132" s="2" t="b">
        <v>1</v>
      </c>
      <c r="U132" s="2" t="s">
        <v>33</v>
      </c>
    </row>
    <row r="133">
      <c r="A133" s="2" t="s">
        <v>288</v>
      </c>
      <c r="B133" s="7">
        <v>82.0</v>
      </c>
      <c r="C133" s="2" t="b">
        <v>1</v>
      </c>
      <c r="D133" s="2" t="s">
        <v>474</v>
      </c>
      <c r="E133" s="2" t="s">
        <v>475</v>
      </c>
      <c r="F133" s="7">
        <v>115.0</v>
      </c>
      <c r="G133" s="2" t="b">
        <v>1</v>
      </c>
      <c r="H133" s="2" t="s">
        <v>476</v>
      </c>
      <c r="I133" s="2" t="s">
        <v>296</v>
      </c>
      <c r="J133" s="7">
        <v>165.5</v>
      </c>
      <c r="K133" s="2" t="b">
        <v>1</v>
      </c>
      <c r="L133" s="2" t="s">
        <v>110</v>
      </c>
      <c r="P133" s="8"/>
      <c r="R133" s="2" t="s">
        <v>296</v>
      </c>
      <c r="S133" s="7">
        <v>165.5</v>
      </c>
      <c r="T133" s="2" t="b">
        <v>1</v>
      </c>
      <c r="U133" s="2" t="s">
        <v>110</v>
      </c>
    </row>
    <row r="134">
      <c r="B134" s="8"/>
      <c r="I134" s="2" t="s">
        <v>477</v>
      </c>
      <c r="J134" s="7">
        <v>105.0</v>
      </c>
      <c r="K134" s="2" t="b">
        <v>1</v>
      </c>
      <c r="L134" s="2" t="s">
        <v>110</v>
      </c>
      <c r="P134" s="8"/>
      <c r="R134" s="2" t="s">
        <v>290</v>
      </c>
      <c r="S134" s="7">
        <v>176.0</v>
      </c>
      <c r="T134" s="2" t="b">
        <v>1</v>
      </c>
      <c r="U134" s="2" t="s">
        <v>110</v>
      </c>
    </row>
    <row r="135">
      <c r="B135" s="8"/>
      <c r="I135" s="2" t="s">
        <v>121</v>
      </c>
      <c r="J135" s="7">
        <v>97.16</v>
      </c>
      <c r="K135" s="2" t="b">
        <v>1</v>
      </c>
      <c r="L135" s="2" t="s">
        <v>110</v>
      </c>
      <c r="P135" s="8"/>
      <c r="R135" s="2" t="s">
        <v>296</v>
      </c>
      <c r="S135" s="7">
        <v>162.0</v>
      </c>
      <c r="T135" s="2" t="b">
        <v>1</v>
      </c>
      <c r="U135" s="2" t="s">
        <v>110</v>
      </c>
    </row>
    <row r="136">
      <c r="B136" s="8"/>
      <c r="I136" s="2" t="s">
        <v>296</v>
      </c>
      <c r="J136" s="7">
        <v>273.0</v>
      </c>
      <c r="K136" s="2" t="b">
        <v>1</v>
      </c>
      <c r="L136" s="2" t="s">
        <v>110</v>
      </c>
      <c r="P136" s="8"/>
      <c r="R136" s="2" t="s">
        <v>394</v>
      </c>
      <c r="S136" s="7">
        <v>750.0</v>
      </c>
      <c r="T136" s="2" t="b">
        <v>1</v>
      </c>
      <c r="U136" s="2" t="s">
        <v>110</v>
      </c>
    </row>
    <row r="137">
      <c r="B137" s="8"/>
      <c r="I137" s="2" t="s">
        <v>478</v>
      </c>
      <c r="J137" s="7">
        <v>480.0</v>
      </c>
      <c r="K137" s="2" t="b">
        <v>1</v>
      </c>
      <c r="L137" s="2" t="s">
        <v>110</v>
      </c>
      <c r="P137" s="8"/>
      <c r="R137" s="2" t="s">
        <v>479</v>
      </c>
      <c r="S137" s="7">
        <v>171.0</v>
      </c>
      <c r="T137" s="2" t="b">
        <v>1</v>
      </c>
      <c r="U137" s="2" t="s">
        <v>110</v>
      </c>
    </row>
    <row r="138">
      <c r="B138" s="8"/>
      <c r="I138" s="2" t="s">
        <v>290</v>
      </c>
      <c r="J138" s="7">
        <v>112.0</v>
      </c>
      <c r="K138" s="2" t="b">
        <v>1</v>
      </c>
      <c r="L138" s="2" t="s">
        <v>110</v>
      </c>
      <c r="P138" s="8"/>
      <c r="R138" s="2" t="s">
        <v>480</v>
      </c>
      <c r="S138" s="7">
        <v>188.2</v>
      </c>
      <c r="T138" s="2" t="b">
        <v>1</v>
      </c>
      <c r="U138" s="2" t="s">
        <v>110</v>
      </c>
    </row>
    <row r="139">
      <c r="B139" s="8"/>
      <c r="I139" s="2" t="s">
        <v>275</v>
      </c>
      <c r="J139" s="7">
        <v>130.0</v>
      </c>
      <c r="K139" s="2" t="b">
        <v>1</v>
      </c>
      <c r="L139" s="2" t="s">
        <v>110</v>
      </c>
      <c r="P139" s="8"/>
      <c r="R139" s="2" t="s">
        <v>481</v>
      </c>
      <c r="S139" s="7">
        <v>50.0</v>
      </c>
      <c r="T139" s="2" t="b">
        <v>1</v>
      </c>
      <c r="U139" s="2" t="s">
        <v>110</v>
      </c>
    </row>
    <row r="140">
      <c r="B140" s="8"/>
      <c r="I140" s="2" t="s">
        <v>428</v>
      </c>
      <c r="J140" s="7">
        <v>118.0</v>
      </c>
      <c r="K140" s="2" t="b">
        <v>1</v>
      </c>
      <c r="L140" s="2" t="s">
        <v>110</v>
      </c>
      <c r="P140" s="8"/>
      <c r="R140" s="2" t="s">
        <v>202</v>
      </c>
      <c r="S140" s="7">
        <v>284.5</v>
      </c>
      <c r="T140" s="2" t="b">
        <v>1</v>
      </c>
      <c r="U140" s="2" t="s">
        <v>110</v>
      </c>
    </row>
    <row r="141">
      <c r="B141" s="8"/>
      <c r="I141" s="2" t="s">
        <v>482</v>
      </c>
      <c r="J141" s="7">
        <v>750.0</v>
      </c>
      <c r="K141" s="2" t="b">
        <v>1</v>
      </c>
      <c r="L141" s="2" t="s">
        <v>110</v>
      </c>
      <c r="P141" s="8"/>
      <c r="R141" s="2" t="s">
        <v>483</v>
      </c>
      <c r="S141" s="7">
        <v>174.0</v>
      </c>
      <c r="T141" s="2" t="b">
        <v>1</v>
      </c>
      <c r="U141" s="2" t="s">
        <v>33</v>
      </c>
    </row>
    <row r="142">
      <c r="B142" s="8"/>
      <c r="I142" s="2" t="s">
        <v>419</v>
      </c>
      <c r="J142" s="7">
        <v>100.0</v>
      </c>
      <c r="K142" s="2" t="b">
        <v>1</v>
      </c>
      <c r="L142" s="2" t="s">
        <v>110</v>
      </c>
      <c r="P142" s="8"/>
      <c r="R142" s="2" t="s">
        <v>363</v>
      </c>
      <c r="S142" s="7">
        <v>142.0</v>
      </c>
      <c r="T142" s="2" t="b">
        <v>1</v>
      </c>
      <c r="U142" s="2" t="s">
        <v>33</v>
      </c>
    </row>
    <row r="143">
      <c r="B143" s="8"/>
      <c r="I143" s="2" t="s">
        <v>484</v>
      </c>
      <c r="J143" s="7">
        <v>109.0</v>
      </c>
      <c r="K143" s="2" t="b">
        <v>1</v>
      </c>
      <c r="L143" s="2" t="s">
        <v>33</v>
      </c>
      <c r="P143" s="8"/>
      <c r="R143" s="2" t="s">
        <v>485</v>
      </c>
      <c r="S143" s="7">
        <v>1603.0</v>
      </c>
      <c r="T143" s="2" t="b">
        <v>1</v>
      </c>
      <c r="U143" s="2" t="s">
        <v>143</v>
      </c>
    </row>
    <row r="144">
      <c r="B144" s="8"/>
      <c r="I144" s="2" t="s">
        <v>486</v>
      </c>
      <c r="J144" s="7" t="str">
        <f>H4</f>
        <v/>
      </c>
      <c r="K144" s="2" t="b">
        <v>1</v>
      </c>
      <c r="L144" s="2" t="s">
        <v>110</v>
      </c>
      <c r="P144" s="8"/>
    </row>
    <row r="145">
      <c r="B145" s="8"/>
      <c r="I145" s="2" t="s">
        <v>283</v>
      </c>
      <c r="J145" s="7">
        <v>79.97</v>
      </c>
      <c r="K145" s="2" t="b">
        <v>1</v>
      </c>
      <c r="L145" s="2" t="s">
        <v>33</v>
      </c>
      <c r="P145" s="8"/>
    </row>
    <row r="146">
      <c r="B146" s="8"/>
      <c r="I146" s="2" t="s">
        <v>57</v>
      </c>
      <c r="J146" s="7">
        <v>1153.28</v>
      </c>
      <c r="K146" s="2" t="b">
        <v>1</v>
      </c>
      <c r="L146" s="2" t="s">
        <v>33</v>
      </c>
      <c r="P146" s="8"/>
    </row>
    <row r="147">
      <c r="B147" s="8"/>
      <c r="I147" s="2" t="s">
        <v>487</v>
      </c>
      <c r="J147" s="7">
        <v>268.0</v>
      </c>
      <c r="K147" s="2" t="b">
        <v>1</v>
      </c>
      <c r="L147" s="2" t="s">
        <v>33</v>
      </c>
      <c r="P147" s="8"/>
    </row>
    <row r="148">
      <c r="B148" s="8"/>
      <c r="I148" s="2" t="s">
        <v>296</v>
      </c>
      <c r="J148" s="7">
        <v>180.0</v>
      </c>
      <c r="K148" s="2" t="b">
        <v>1</v>
      </c>
      <c r="L148" s="2" t="s">
        <v>33</v>
      </c>
      <c r="P148" s="8"/>
    </row>
    <row r="149">
      <c r="B149" s="8"/>
      <c r="I149" s="2" t="s">
        <v>296</v>
      </c>
      <c r="J149" s="7">
        <v>160.0</v>
      </c>
      <c r="K149" s="2" t="b">
        <v>1</v>
      </c>
      <c r="L149" s="2" t="s">
        <v>33</v>
      </c>
      <c r="P149" s="8"/>
    </row>
    <row r="150">
      <c r="B150" s="8"/>
      <c r="I150" s="2" t="s">
        <v>488</v>
      </c>
      <c r="J150" s="7">
        <v>215.0</v>
      </c>
      <c r="K150" s="2" t="b">
        <v>1</v>
      </c>
      <c r="L150" s="2" t="s">
        <v>33</v>
      </c>
      <c r="P150" s="8"/>
    </row>
    <row r="151">
      <c r="B151" s="8"/>
      <c r="I151" s="2" t="s">
        <v>489</v>
      </c>
      <c r="J151" s="7">
        <v>193.3</v>
      </c>
      <c r="K151" s="2" t="b">
        <v>1</v>
      </c>
      <c r="L151" s="2" t="s">
        <v>33</v>
      </c>
      <c r="P151" s="8"/>
    </row>
    <row r="152">
      <c r="B152" s="8"/>
      <c r="P152" s="8"/>
    </row>
    <row r="153">
      <c r="B153" s="8"/>
      <c r="P153" s="8"/>
    </row>
    <row r="154">
      <c r="B154" s="8"/>
      <c r="P154" s="8"/>
    </row>
    <row r="155">
      <c r="B155" s="8"/>
      <c r="P155" s="8"/>
    </row>
    <row r="156">
      <c r="B156" s="8"/>
      <c r="P156" s="8"/>
    </row>
    <row r="157">
      <c r="B157" s="8"/>
      <c r="P157" s="8"/>
    </row>
    <row r="158">
      <c r="B158" s="8"/>
      <c r="P158" s="8"/>
    </row>
    <row r="159">
      <c r="B159" s="8"/>
      <c r="P159" s="8"/>
    </row>
    <row r="160">
      <c r="B160" s="8"/>
      <c r="P160" s="8"/>
    </row>
    <row r="161">
      <c r="B161" s="8"/>
      <c r="P161" s="8"/>
    </row>
    <row r="162">
      <c r="B162" s="8"/>
      <c r="P162" s="8"/>
    </row>
    <row r="163">
      <c r="B163" s="8"/>
      <c r="P163" s="8"/>
    </row>
    <row r="164">
      <c r="B164" s="8"/>
      <c r="P164" s="8"/>
    </row>
    <row r="165">
      <c r="B165" s="8"/>
      <c r="P165" s="8"/>
    </row>
    <row r="166">
      <c r="B166" s="8"/>
      <c r="P166" s="8"/>
    </row>
    <row r="167">
      <c r="B167" s="8"/>
      <c r="P167" s="8"/>
    </row>
    <row r="168">
      <c r="B168" s="8"/>
      <c r="P168" s="8"/>
    </row>
    <row r="169">
      <c r="B169" s="8"/>
      <c r="P169" s="8"/>
    </row>
    <row r="170">
      <c r="B170" s="8"/>
      <c r="P170" s="8"/>
    </row>
    <row r="171">
      <c r="B171" s="8"/>
      <c r="P171" s="8"/>
    </row>
    <row r="172">
      <c r="B172" s="8"/>
      <c r="P172" s="8"/>
    </row>
    <row r="173">
      <c r="B173" s="8"/>
      <c r="P173" s="8"/>
    </row>
    <row r="174">
      <c r="B174" s="8"/>
      <c r="P174" s="8"/>
    </row>
    <row r="175">
      <c r="B175" s="8"/>
      <c r="P175" s="8"/>
    </row>
    <row r="176">
      <c r="B176" s="8"/>
      <c r="P176" s="8"/>
    </row>
    <row r="177">
      <c r="B177" s="8"/>
      <c r="P177" s="8"/>
    </row>
    <row r="178">
      <c r="B178" s="8"/>
      <c r="P178" s="8"/>
    </row>
    <row r="179">
      <c r="B179" s="8"/>
      <c r="P179" s="8"/>
    </row>
    <row r="180">
      <c r="B180" s="8"/>
      <c r="P180" s="8"/>
    </row>
    <row r="181">
      <c r="B181" s="8"/>
      <c r="P181" s="8"/>
    </row>
    <row r="182">
      <c r="B182" s="8"/>
      <c r="P182" s="8"/>
    </row>
    <row r="183">
      <c r="B183" s="8"/>
      <c r="P183" s="8"/>
    </row>
    <row r="184">
      <c r="B184" s="8"/>
      <c r="P184" s="8"/>
    </row>
    <row r="185">
      <c r="B185" s="8"/>
      <c r="P185" s="8"/>
    </row>
    <row r="186">
      <c r="B186" s="8"/>
      <c r="P186" s="8"/>
    </row>
    <row r="187">
      <c r="B187" s="8"/>
      <c r="P187" s="8"/>
    </row>
    <row r="188">
      <c r="B188" s="8"/>
      <c r="P188" s="8"/>
    </row>
    <row r="189">
      <c r="B189" s="8"/>
      <c r="P189" s="8"/>
    </row>
    <row r="190">
      <c r="B190" s="8"/>
      <c r="P190" s="8"/>
    </row>
    <row r="191">
      <c r="B191" s="8"/>
      <c r="P191" s="8"/>
    </row>
    <row r="192">
      <c r="B192" s="8"/>
      <c r="P192" s="8"/>
    </row>
    <row r="193">
      <c r="B193" s="8"/>
      <c r="P193" s="8"/>
    </row>
    <row r="194">
      <c r="B194" s="8"/>
      <c r="P194" s="8"/>
    </row>
    <row r="195">
      <c r="B195" s="8"/>
      <c r="P195" s="8"/>
    </row>
    <row r="196">
      <c r="B196" s="8"/>
      <c r="P196" s="8"/>
    </row>
    <row r="197">
      <c r="B197" s="8"/>
      <c r="P197" s="8"/>
    </row>
    <row r="198">
      <c r="B198" s="8"/>
      <c r="P198" s="8"/>
    </row>
    <row r="199">
      <c r="B199" s="8"/>
      <c r="P199" s="8"/>
    </row>
    <row r="200">
      <c r="B200" s="8"/>
      <c r="P200" s="8"/>
    </row>
    <row r="201">
      <c r="B201" s="8"/>
      <c r="P201" s="8"/>
    </row>
    <row r="202">
      <c r="B202" s="8"/>
      <c r="P202" s="8"/>
    </row>
    <row r="203">
      <c r="B203" s="8"/>
      <c r="P203" s="8"/>
    </row>
    <row r="204">
      <c r="B204" s="8"/>
      <c r="P204" s="8"/>
    </row>
    <row r="205">
      <c r="B205" s="8"/>
      <c r="P205" s="8"/>
    </row>
    <row r="206">
      <c r="B206" s="8"/>
      <c r="P206" s="8"/>
    </row>
    <row r="207">
      <c r="B207" s="8"/>
      <c r="P207" s="8"/>
    </row>
    <row r="208">
      <c r="B208" s="8"/>
      <c r="P208" s="8"/>
    </row>
    <row r="209">
      <c r="B209" s="8"/>
      <c r="P209" s="8"/>
    </row>
    <row r="210">
      <c r="B210" s="8"/>
      <c r="P210" s="8"/>
    </row>
    <row r="211">
      <c r="B211" s="8"/>
      <c r="P211" s="8"/>
    </row>
    <row r="212">
      <c r="B212" s="8"/>
      <c r="P212" s="8"/>
    </row>
    <row r="213">
      <c r="B213" s="8"/>
      <c r="C213" s="100"/>
      <c r="P213" s="8"/>
    </row>
    <row r="214">
      <c r="B214" s="8"/>
      <c r="C214" s="100"/>
      <c r="P214" s="8"/>
    </row>
    <row r="215">
      <c r="B215" s="8"/>
      <c r="C215" s="100"/>
      <c r="P215" s="8"/>
    </row>
    <row r="216">
      <c r="B216" s="8"/>
      <c r="C216" s="100"/>
      <c r="P216" s="8"/>
    </row>
    <row r="217">
      <c r="B217" s="8"/>
      <c r="C217" s="100"/>
      <c r="P217" s="8"/>
    </row>
    <row r="218">
      <c r="B218" s="8"/>
      <c r="C218" s="100"/>
      <c r="P218" s="8"/>
    </row>
    <row r="219">
      <c r="B219" s="8"/>
      <c r="C219" s="100"/>
      <c r="P219" s="8"/>
    </row>
    <row r="220">
      <c r="B220" s="8"/>
      <c r="C220" s="100"/>
      <c r="P220" s="8"/>
    </row>
    <row r="221">
      <c r="B221" s="8"/>
      <c r="C221" s="100"/>
      <c r="P221" s="8"/>
    </row>
    <row r="222">
      <c r="B222" s="8"/>
      <c r="C222" s="100"/>
      <c r="P222" s="8"/>
    </row>
    <row r="223">
      <c r="B223" s="8"/>
      <c r="C223" s="100"/>
      <c r="P223" s="8"/>
    </row>
    <row r="224">
      <c r="B224" s="8"/>
      <c r="C224" s="100"/>
      <c r="P224" s="8"/>
    </row>
    <row r="225">
      <c r="B225" s="8"/>
      <c r="C225" s="100"/>
      <c r="P225" s="8"/>
    </row>
    <row r="226">
      <c r="B226" s="8"/>
      <c r="C226" s="100"/>
      <c r="P226" s="8"/>
    </row>
    <row r="227">
      <c r="B227" s="8"/>
      <c r="C227" s="100"/>
      <c r="P227" s="8"/>
    </row>
    <row r="228">
      <c r="B228" s="8"/>
      <c r="C228" s="100"/>
      <c r="P228" s="8"/>
    </row>
    <row r="229">
      <c r="B229" s="8"/>
      <c r="C229" s="100"/>
      <c r="P229" s="8"/>
    </row>
    <row r="230">
      <c r="B230" s="8"/>
      <c r="C230" s="100"/>
      <c r="P230" s="8"/>
    </row>
    <row r="231">
      <c r="B231" s="8"/>
      <c r="C231" s="100"/>
      <c r="P231" s="8"/>
    </row>
    <row r="232">
      <c r="B232" s="8"/>
      <c r="C232" s="100"/>
      <c r="P232" s="8"/>
    </row>
    <row r="233">
      <c r="B233" s="8"/>
      <c r="C233" s="100"/>
      <c r="P233" s="8"/>
    </row>
    <row r="234">
      <c r="B234" s="8"/>
      <c r="C234" s="100"/>
      <c r="P234" s="8"/>
    </row>
    <row r="235">
      <c r="B235" s="8"/>
      <c r="C235" s="100"/>
      <c r="P235" s="8"/>
    </row>
    <row r="236">
      <c r="B236" s="8"/>
      <c r="C236" s="100"/>
      <c r="P236" s="8"/>
    </row>
    <row r="237">
      <c r="B237" s="8"/>
      <c r="C237" s="100"/>
      <c r="P237" s="8"/>
    </row>
    <row r="238">
      <c r="B238" s="8"/>
      <c r="C238" s="100"/>
      <c r="P238" s="8"/>
    </row>
    <row r="239">
      <c r="B239" s="8"/>
      <c r="C239" s="100"/>
      <c r="P239" s="8"/>
    </row>
    <row r="240">
      <c r="B240" s="8"/>
      <c r="C240" s="100"/>
      <c r="P240" s="8"/>
    </row>
    <row r="241">
      <c r="B241" s="8"/>
      <c r="C241" s="100"/>
      <c r="P241" s="8"/>
    </row>
    <row r="242">
      <c r="B242" s="8"/>
      <c r="C242" s="100"/>
      <c r="P242" s="8"/>
    </row>
    <row r="243">
      <c r="B243" s="8"/>
      <c r="C243" s="100"/>
      <c r="P243" s="8"/>
    </row>
    <row r="244">
      <c r="B244" s="8"/>
      <c r="C244" s="100"/>
      <c r="P244" s="8"/>
    </row>
    <row r="245">
      <c r="B245" s="8"/>
      <c r="C245" s="100"/>
      <c r="P245" s="8"/>
    </row>
    <row r="246">
      <c r="B246" s="8"/>
      <c r="C246" s="100"/>
      <c r="P246" s="8"/>
    </row>
    <row r="247">
      <c r="B247" s="8"/>
      <c r="C247" s="100"/>
      <c r="P247" s="8"/>
    </row>
    <row r="248">
      <c r="B248" s="8"/>
      <c r="C248" s="100"/>
      <c r="P248" s="8"/>
    </row>
    <row r="249">
      <c r="B249" s="8"/>
      <c r="C249" s="100"/>
      <c r="P249" s="8"/>
    </row>
    <row r="250">
      <c r="B250" s="8"/>
      <c r="C250" s="100"/>
      <c r="P250" s="8"/>
    </row>
    <row r="251">
      <c r="B251" s="8"/>
      <c r="C251" s="100"/>
      <c r="P251" s="8"/>
    </row>
    <row r="252">
      <c r="B252" s="8"/>
      <c r="C252" s="100"/>
      <c r="P252" s="8"/>
    </row>
    <row r="253">
      <c r="B253" s="8"/>
      <c r="C253" s="100"/>
      <c r="P253" s="8"/>
    </row>
    <row r="254">
      <c r="B254" s="8"/>
      <c r="C254" s="100"/>
      <c r="P254" s="8"/>
    </row>
    <row r="255">
      <c r="B255" s="8"/>
      <c r="C255" s="100"/>
      <c r="P255" s="8"/>
    </row>
    <row r="256">
      <c r="B256" s="8"/>
      <c r="C256" s="100"/>
      <c r="P256" s="8"/>
    </row>
    <row r="257">
      <c r="B257" s="8"/>
      <c r="C257" s="100"/>
      <c r="P257" s="8"/>
    </row>
    <row r="258">
      <c r="B258" s="8"/>
      <c r="C258" s="100"/>
      <c r="P258" s="8"/>
    </row>
    <row r="259">
      <c r="B259" s="8"/>
      <c r="C259" s="100"/>
      <c r="P259" s="8"/>
    </row>
    <row r="260">
      <c r="B260" s="8"/>
      <c r="C260" s="100"/>
      <c r="P260" s="8"/>
    </row>
    <row r="261">
      <c r="B261" s="8"/>
      <c r="C261" s="100"/>
      <c r="P261" s="8"/>
    </row>
    <row r="262">
      <c r="B262" s="8"/>
      <c r="C262" s="100"/>
      <c r="P262" s="8"/>
    </row>
    <row r="263">
      <c r="B263" s="8"/>
      <c r="C263" s="100"/>
      <c r="P263" s="8"/>
    </row>
    <row r="264">
      <c r="B264" s="8"/>
      <c r="C264" s="100"/>
      <c r="P264" s="8"/>
    </row>
    <row r="265">
      <c r="B265" s="8"/>
      <c r="C265" s="100"/>
      <c r="P265" s="8"/>
    </row>
    <row r="266">
      <c r="B266" s="8"/>
      <c r="C266" s="100"/>
      <c r="P266" s="8"/>
    </row>
    <row r="267">
      <c r="B267" s="8"/>
      <c r="C267" s="100"/>
      <c r="P267" s="8"/>
    </row>
    <row r="268">
      <c r="B268" s="8"/>
      <c r="C268" s="100"/>
      <c r="P268" s="8"/>
    </row>
    <row r="269">
      <c r="B269" s="8"/>
      <c r="C269" s="100"/>
      <c r="P269" s="8"/>
    </row>
    <row r="270">
      <c r="B270" s="8"/>
      <c r="C270" s="100"/>
      <c r="P270" s="8"/>
    </row>
    <row r="271">
      <c r="B271" s="8"/>
      <c r="C271" s="100"/>
      <c r="P271" s="8"/>
    </row>
    <row r="272">
      <c r="B272" s="8"/>
      <c r="C272" s="100"/>
      <c r="P272" s="8"/>
    </row>
    <row r="273">
      <c r="B273" s="8"/>
      <c r="C273" s="100"/>
      <c r="P273" s="8"/>
    </row>
    <row r="274">
      <c r="B274" s="8"/>
      <c r="C274" s="100"/>
      <c r="P274" s="8"/>
    </row>
    <row r="275">
      <c r="B275" s="8"/>
      <c r="C275" s="100"/>
      <c r="P275" s="8"/>
    </row>
    <row r="276">
      <c r="B276" s="8"/>
      <c r="C276" s="100"/>
      <c r="P276" s="8"/>
    </row>
    <row r="277">
      <c r="B277" s="8"/>
      <c r="C277" s="100"/>
      <c r="P277" s="8"/>
    </row>
    <row r="278">
      <c r="B278" s="8"/>
      <c r="C278" s="100"/>
      <c r="P278" s="8"/>
    </row>
    <row r="279">
      <c r="B279" s="8"/>
      <c r="C279" s="100"/>
      <c r="P279" s="8"/>
    </row>
    <row r="280">
      <c r="B280" s="8"/>
      <c r="C280" s="100"/>
      <c r="P280" s="8"/>
    </row>
    <row r="281">
      <c r="B281" s="8"/>
      <c r="C281" s="100"/>
      <c r="P281" s="8"/>
    </row>
    <row r="282">
      <c r="B282" s="8"/>
      <c r="C282" s="100"/>
      <c r="P282" s="8"/>
    </row>
    <row r="283">
      <c r="B283" s="8"/>
      <c r="C283" s="100"/>
      <c r="P283" s="8"/>
    </row>
    <row r="284">
      <c r="B284" s="8"/>
      <c r="C284" s="100"/>
      <c r="P284" s="8"/>
    </row>
    <row r="285">
      <c r="B285" s="8"/>
      <c r="C285" s="100"/>
      <c r="P285" s="8"/>
    </row>
    <row r="286">
      <c r="B286" s="8"/>
      <c r="C286" s="100"/>
      <c r="P286" s="8"/>
    </row>
    <row r="287">
      <c r="B287" s="8"/>
      <c r="C287" s="100"/>
      <c r="P287" s="8"/>
    </row>
    <row r="288">
      <c r="B288" s="8"/>
      <c r="C288" s="100"/>
      <c r="P288" s="8"/>
    </row>
    <row r="289">
      <c r="B289" s="8"/>
      <c r="C289" s="100"/>
      <c r="P289" s="8"/>
    </row>
    <row r="290">
      <c r="B290" s="8"/>
      <c r="C290" s="100"/>
      <c r="P290" s="8"/>
    </row>
    <row r="291">
      <c r="B291" s="8"/>
      <c r="C291" s="100"/>
      <c r="P291" s="8"/>
    </row>
    <row r="292">
      <c r="B292" s="8"/>
      <c r="C292" s="100"/>
      <c r="P292" s="8"/>
    </row>
    <row r="293">
      <c r="B293" s="8"/>
      <c r="C293" s="100"/>
      <c r="P293" s="8"/>
    </row>
    <row r="294">
      <c r="B294" s="8"/>
      <c r="C294" s="100"/>
      <c r="P294" s="8"/>
    </row>
    <row r="295">
      <c r="B295" s="8"/>
      <c r="C295" s="100"/>
      <c r="P295" s="8"/>
    </row>
    <row r="296">
      <c r="B296" s="8"/>
      <c r="C296" s="100"/>
      <c r="P296" s="8"/>
    </row>
    <row r="297">
      <c r="B297" s="8"/>
      <c r="C297" s="100"/>
      <c r="P297" s="8"/>
    </row>
    <row r="298">
      <c r="B298" s="8"/>
      <c r="C298" s="100"/>
      <c r="P298" s="8"/>
    </row>
    <row r="299">
      <c r="B299" s="8"/>
      <c r="C299" s="100"/>
      <c r="P299" s="8"/>
    </row>
    <row r="300">
      <c r="B300" s="8"/>
      <c r="C300" s="100"/>
      <c r="P300" s="8"/>
    </row>
    <row r="301">
      <c r="B301" s="8"/>
      <c r="C301" s="100"/>
      <c r="P301" s="8"/>
    </row>
    <row r="302">
      <c r="B302" s="8"/>
      <c r="C302" s="100"/>
      <c r="P302" s="8"/>
    </row>
    <row r="303">
      <c r="B303" s="8"/>
      <c r="C303" s="100"/>
      <c r="P303" s="8"/>
    </row>
    <row r="304">
      <c r="B304" s="8"/>
      <c r="C304" s="100"/>
      <c r="P304" s="8"/>
    </row>
    <row r="305">
      <c r="B305" s="8"/>
      <c r="C305" s="100"/>
      <c r="P305" s="8"/>
    </row>
    <row r="306">
      <c r="B306" s="8"/>
      <c r="C306" s="100"/>
      <c r="P306" s="8"/>
    </row>
    <row r="307">
      <c r="B307" s="8"/>
      <c r="C307" s="100"/>
      <c r="P307" s="8"/>
    </row>
    <row r="308">
      <c r="B308" s="8"/>
      <c r="C308" s="100"/>
      <c r="P308" s="8"/>
    </row>
    <row r="309">
      <c r="B309" s="8"/>
      <c r="C309" s="100"/>
      <c r="P309" s="8"/>
    </row>
    <row r="310">
      <c r="B310" s="8"/>
      <c r="C310" s="100"/>
      <c r="P310" s="8"/>
    </row>
    <row r="311">
      <c r="B311" s="8"/>
      <c r="C311" s="100"/>
      <c r="P311" s="8"/>
    </row>
    <row r="312">
      <c r="B312" s="8"/>
      <c r="C312" s="100"/>
      <c r="P312" s="8"/>
    </row>
    <row r="313">
      <c r="B313" s="8"/>
      <c r="C313" s="100"/>
      <c r="P313" s="8"/>
    </row>
    <row r="314">
      <c r="B314" s="8"/>
      <c r="C314" s="100"/>
      <c r="P314" s="8"/>
    </row>
    <row r="315">
      <c r="B315" s="8"/>
      <c r="C315" s="100"/>
      <c r="P315" s="8"/>
    </row>
    <row r="316">
      <c r="B316" s="8"/>
      <c r="C316" s="100"/>
      <c r="P316" s="8"/>
    </row>
    <row r="317">
      <c r="B317" s="8"/>
      <c r="C317" s="100"/>
      <c r="P317" s="8"/>
    </row>
    <row r="318">
      <c r="B318" s="8"/>
      <c r="C318" s="100"/>
      <c r="P318" s="8"/>
    </row>
    <row r="319">
      <c r="B319" s="8"/>
      <c r="C319" s="100"/>
      <c r="P319" s="8"/>
    </row>
    <row r="320">
      <c r="B320" s="8"/>
      <c r="C320" s="100"/>
      <c r="P320" s="8"/>
    </row>
    <row r="321">
      <c r="B321" s="8"/>
      <c r="C321" s="100"/>
      <c r="P321" s="8"/>
    </row>
    <row r="322">
      <c r="B322" s="8"/>
      <c r="C322" s="100"/>
      <c r="P322" s="8"/>
    </row>
    <row r="323">
      <c r="B323" s="8"/>
      <c r="C323" s="100"/>
      <c r="P323" s="8"/>
    </row>
    <row r="324">
      <c r="B324" s="8"/>
      <c r="C324" s="100"/>
      <c r="P324" s="8"/>
    </row>
    <row r="325">
      <c r="B325" s="8"/>
      <c r="C325" s="100"/>
      <c r="P325" s="8"/>
    </row>
    <row r="326">
      <c r="B326" s="8"/>
      <c r="C326" s="100"/>
      <c r="P326" s="8"/>
    </row>
    <row r="327">
      <c r="B327" s="8"/>
      <c r="C327" s="100"/>
      <c r="P327" s="8"/>
    </row>
    <row r="328">
      <c r="B328" s="8"/>
      <c r="C328" s="100"/>
      <c r="P328" s="8"/>
    </row>
    <row r="329">
      <c r="B329" s="8"/>
      <c r="C329" s="100"/>
      <c r="P329" s="8"/>
    </row>
    <row r="330">
      <c r="B330" s="8"/>
      <c r="C330" s="100"/>
      <c r="P330" s="8"/>
    </row>
    <row r="331">
      <c r="B331" s="8"/>
      <c r="C331" s="100"/>
      <c r="P331" s="8"/>
    </row>
    <row r="332">
      <c r="B332" s="8"/>
      <c r="C332" s="100"/>
      <c r="P332" s="8"/>
    </row>
    <row r="333">
      <c r="B333" s="8"/>
      <c r="C333" s="100"/>
      <c r="P333" s="8"/>
    </row>
    <row r="334">
      <c r="B334" s="8"/>
      <c r="C334" s="100"/>
      <c r="P334" s="8"/>
    </row>
    <row r="335">
      <c r="B335" s="8"/>
      <c r="C335" s="100"/>
      <c r="P335" s="8"/>
    </row>
    <row r="336">
      <c r="B336" s="8"/>
      <c r="C336" s="100"/>
      <c r="P336" s="8"/>
    </row>
    <row r="337">
      <c r="B337" s="8"/>
      <c r="C337" s="100"/>
      <c r="P337" s="8"/>
    </row>
    <row r="338">
      <c r="B338" s="8"/>
      <c r="C338" s="100"/>
      <c r="P338" s="8"/>
    </row>
    <row r="339">
      <c r="B339" s="8"/>
      <c r="C339" s="100"/>
      <c r="P339" s="8"/>
    </row>
    <row r="340">
      <c r="B340" s="8"/>
      <c r="C340" s="100"/>
      <c r="P340" s="8"/>
    </row>
    <row r="341">
      <c r="B341" s="8"/>
      <c r="C341" s="100"/>
      <c r="P341" s="8"/>
    </row>
    <row r="342">
      <c r="B342" s="8"/>
      <c r="C342" s="100"/>
      <c r="P342" s="8"/>
    </row>
    <row r="343">
      <c r="B343" s="8"/>
      <c r="C343" s="100"/>
      <c r="P343" s="8"/>
    </row>
    <row r="344">
      <c r="B344" s="8"/>
      <c r="C344" s="100"/>
      <c r="P344" s="8"/>
    </row>
    <row r="345">
      <c r="B345" s="8"/>
      <c r="C345" s="100"/>
      <c r="P345" s="8"/>
    </row>
    <row r="346">
      <c r="B346" s="8"/>
      <c r="C346" s="100"/>
      <c r="P346" s="8"/>
    </row>
    <row r="347">
      <c r="B347" s="8"/>
      <c r="C347" s="100"/>
      <c r="P347" s="8"/>
    </row>
    <row r="348">
      <c r="B348" s="8"/>
      <c r="C348" s="100"/>
      <c r="P348" s="8"/>
    </row>
    <row r="349">
      <c r="B349" s="8"/>
      <c r="C349" s="100"/>
      <c r="P349" s="8"/>
    </row>
    <row r="350">
      <c r="B350" s="8"/>
      <c r="C350" s="100"/>
      <c r="P350" s="8"/>
    </row>
    <row r="351">
      <c r="B351" s="8"/>
      <c r="C351" s="100"/>
      <c r="P351" s="8"/>
    </row>
    <row r="352">
      <c r="B352" s="8"/>
      <c r="C352" s="100"/>
      <c r="P352" s="8"/>
    </row>
    <row r="353">
      <c r="B353" s="8"/>
      <c r="C353" s="100"/>
      <c r="P353" s="8"/>
    </row>
    <row r="354">
      <c r="B354" s="8"/>
      <c r="C354" s="100"/>
      <c r="P354" s="8"/>
    </row>
    <row r="355">
      <c r="B355" s="8"/>
      <c r="C355" s="100"/>
      <c r="P355" s="8"/>
    </row>
    <row r="356">
      <c r="B356" s="8"/>
      <c r="C356" s="100"/>
      <c r="P356" s="8"/>
    </row>
    <row r="357">
      <c r="B357" s="8"/>
      <c r="C357" s="100"/>
      <c r="P357" s="8"/>
    </row>
    <row r="358">
      <c r="B358" s="8"/>
      <c r="C358" s="100"/>
      <c r="P358" s="8"/>
    </row>
    <row r="359">
      <c r="B359" s="8"/>
      <c r="C359" s="100"/>
      <c r="P359" s="8"/>
    </row>
    <row r="360">
      <c r="B360" s="8"/>
      <c r="C360" s="100"/>
      <c r="P360" s="8"/>
    </row>
    <row r="361">
      <c r="B361" s="8"/>
      <c r="C361" s="100"/>
      <c r="P361" s="8"/>
    </row>
    <row r="362">
      <c r="B362" s="8"/>
      <c r="C362" s="100"/>
      <c r="P362" s="8"/>
    </row>
    <row r="363">
      <c r="B363" s="8"/>
      <c r="C363" s="100"/>
      <c r="P363" s="8"/>
    </row>
    <row r="364">
      <c r="B364" s="8"/>
      <c r="C364" s="100"/>
      <c r="P364" s="8"/>
    </row>
    <row r="365">
      <c r="B365" s="8"/>
      <c r="C365" s="100"/>
      <c r="P365" s="8"/>
    </row>
    <row r="366">
      <c r="B366" s="8"/>
      <c r="C366" s="100"/>
      <c r="P366" s="8"/>
    </row>
    <row r="367">
      <c r="B367" s="8"/>
      <c r="C367" s="100"/>
      <c r="P367" s="8"/>
    </row>
    <row r="368">
      <c r="B368" s="8"/>
      <c r="C368" s="100"/>
      <c r="P368" s="8"/>
    </row>
    <row r="369">
      <c r="B369" s="8"/>
      <c r="C369" s="100"/>
      <c r="P369" s="8"/>
    </row>
    <row r="370">
      <c r="B370" s="8"/>
      <c r="C370" s="100"/>
      <c r="P370" s="8"/>
    </row>
    <row r="371">
      <c r="B371" s="8"/>
      <c r="C371" s="100"/>
      <c r="P371" s="8"/>
    </row>
    <row r="372">
      <c r="B372" s="8"/>
      <c r="C372" s="100"/>
      <c r="P372" s="8"/>
    </row>
    <row r="373">
      <c r="B373" s="8"/>
      <c r="C373" s="100"/>
      <c r="P373" s="8"/>
    </row>
    <row r="374">
      <c r="B374" s="8"/>
      <c r="C374" s="100"/>
      <c r="P374" s="8"/>
    </row>
    <row r="375">
      <c r="B375" s="8"/>
      <c r="C375" s="100"/>
      <c r="P375" s="8"/>
    </row>
    <row r="376">
      <c r="B376" s="8"/>
      <c r="C376" s="100"/>
      <c r="P376" s="8"/>
    </row>
    <row r="377">
      <c r="B377" s="8"/>
      <c r="C377" s="100"/>
      <c r="P377" s="8"/>
    </row>
    <row r="378">
      <c r="B378" s="8"/>
      <c r="C378" s="100"/>
      <c r="P378" s="8"/>
    </row>
    <row r="379">
      <c r="B379" s="8"/>
      <c r="C379" s="100"/>
      <c r="P379" s="8"/>
    </row>
    <row r="380">
      <c r="B380" s="8"/>
      <c r="C380" s="100"/>
      <c r="P380" s="8"/>
    </row>
    <row r="381">
      <c r="B381" s="8"/>
      <c r="C381" s="100"/>
      <c r="P381" s="8"/>
    </row>
    <row r="382">
      <c r="B382" s="8"/>
      <c r="C382" s="100"/>
      <c r="P382" s="8"/>
    </row>
    <row r="383">
      <c r="B383" s="8"/>
      <c r="C383" s="100"/>
      <c r="P383" s="8"/>
    </row>
    <row r="384">
      <c r="B384" s="8"/>
      <c r="C384" s="100"/>
      <c r="P384" s="8"/>
    </row>
    <row r="385">
      <c r="B385" s="8"/>
      <c r="C385" s="100"/>
      <c r="P385" s="8"/>
    </row>
    <row r="386">
      <c r="B386" s="8"/>
      <c r="C386" s="100"/>
      <c r="P386" s="8"/>
    </row>
    <row r="387">
      <c r="B387" s="8"/>
      <c r="C387" s="100"/>
      <c r="P387" s="8"/>
    </row>
    <row r="388">
      <c r="B388" s="8"/>
      <c r="C388" s="100"/>
      <c r="P388" s="8"/>
    </row>
    <row r="389">
      <c r="B389" s="8"/>
      <c r="C389" s="100"/>
      <c r="P389" s="8"/>
    </row>
    <row r="390">
      <c r="B390" s="8"/>
      <c r="C390" s="100"/>
      <c r="P390" s="8"/>
    </row>
    <row r="391">
      <c r="B391" s="8"/>
      <c r="C391" s="100"/>
      <c r="P391" s="8"/>
    </row>
    <row r="392">
      <c r="B392" s="8"/>
      <c r="C392" s="100"/>
      <c r="P392" s="8"/>
    </row>
    <row r="393">
      <c r="B393" s="8"/>
      <c r="C393" s="100"/>
      <c r="P393" s="8"/>
    </row>
    <row r="394">
      <c r="B394" s="8"/>
      <c r="C394" s="100"/>
      <c r="P394" s="8"/>
    </row>
    <row r="395">
      <c r="B395" s="8"/>
      <c r="C395" s="100"/>
      <c r="P395" s="8"/>
    </row>
    <row r="396">
      <c r="B396" s="8"/>
      <c r="C396" s="100"/>
      <c r="P396" s="8"/>
    </row>
    <row r="397">
      <c r="B397" s="8"/>
      <c r="C397" s="100"/>
      <c r="P397" s="8"/>
    </row>
    <row r="398">
      <c r="B398" s="8"/>
      <c r="C398" s="100"/>
      <c r="P398" s="8"/>
    </row>
    <row r="399">
      <c r="B399" s="8"/>
      <c r="C399" s="100"/>
      <c r="P399" s="8"/>
    </row>
    <row r="400">
      <c r="B400" s="8"/>
      <c r="C400" s="100"/>
      <c r="P400" s="8"/>
    </row>
    <row r="401">
      <c r="B401" s="8"/>
      <c r="C401" s="100"/>
      <c r="P401" s="8"/>
    </row>
    <row r="402">
      <c r="B402" s="8"/>
      <c r="C402" s="100"/>
      <c r="P402" s="8"/>
    </row>
    <row r="403">
      <c r="B403" s="8"/>
      <c r="C403" s="100"/>
      <c r="P403" s="8"/>
    </row>
    <row r="404">
      <c r="B404" s="8"/>
      <c r="C404" s="100"/>
      <c r="P404" s="8"/>
    </row>
    <row r="405">
      <c r="B405" s="8"/>
      <c r="C405" s="100"/>
      <c r="P405" s="8"/>
    </row>
    <row r="406">
      <c r="B406" s="8"/>
      <c r="C406" s="100"/>
      <c r="P406" s="8"/>
    </row>
    <row r="407">
      <c r="B407" s="8"/>
      <c r="C407" s="100"/>
      <c r="P407" s="8"/>
    </row>
    <row r="408">
      <c r="B408" s="8"/>
      <c r="C408" s="100"/>
      <c r="P408" s="8"/>
    </row>
    <row r="409">
      <c r="B409" s="8"/>
      <c r="C409" s="100"/>
      <c r="P409" s="8"/>
    </row>
    <row r="410">
      <c r="B410" s="8"/>
      <c r="C410" s="100"/>
      <c r="P410" s="8"/>
    </row>
    <row r="411">
      <c r="B411" s="8"/>
      <c r="C411" s="100"/>
      <c r="P411" s="8"/>
    </row>
    <row r="412">
      <c r="B412" s="8"/>
      <c r="C412" s="100"/>
      <c r="P412" s="8"/>
    </row>
    <row r="413">
      <c r="B413" s="8"/>
      <c r="C413" s="100"/>
      <c r="P413" s="8"/>
    </row>
    <row r="414">
      <c r="B414" s="8"/>
      <c r="C414" s="100"/>
      <c r="P414" s="8"/>
    </row>
    <row r="415">
      <c r="B415" s="8"/>
      <c r="C415" s="100"/>
      <c r="P415" s="8"/>
    </row>
    <row r="416">
      <c r="B416" s="8"/>
      <c r="C416" s="100"/>
      <c r="P416" s="8"/>
    </row>
    <row r="417">
      <c r="B417" s="8"/>
      <c r="C417" s="100"/>
      <c r="P417" s="8"/>
    </row>
    <row r="418">
      <c r="B418" s="8"/>
      <c r="C418" s="100"/>
      <c r="P418" s="8"/>
    </row>
    <row r="419">
      <c r="B419" s="8"/>
      <c r="C419" s="100"/>
      <c r="P419" s="8"/>
    </row>
    <row r="420">
      <c r="B420" s="8"/>
      <c r="C420" s="100"/>
      <c r="P420" s="8"/>
    </row>
    <row r="421">
      <c r="B421" s="8"/>
      <c r="C421" s="100"/>
      <c r="P421" s="8"/>
    </row>
    <row r="422">
      <c r="B422" s="8"/>
      <c r="C422" s="100"/>
      <c r="P422" s="8"/>
    </row>
    <row r="423">
      <c r="B423" s="8"/>
      <c r="C423" s="100"/>
      <c r="P423" s="8"/>
    </row>
    <row r="424">
      <c r="B424" s="8"/>
      <c r="C424" s="100"/>
      <c r="P424" s="8"/>
    </row>
    <row r="425">
      <c r="B425" s="8"/>
      <c r="C425" s="100"/>
      <c r="P425" s="8"/>
    </row>
    <row r="426">
      <c r="B426" s="8"/>
      <c r="C426" s="100"/>
      <c r="P426" s="8"/>
    </row>
    <row r="427">
      <c r="B427" s="8"/>
      <c r="C427" s="100"/>
      <c r="P427" s="8"/>
    </row>
    <row r="428">
      <c r="B428" s="8"/>
      <c r="C428" s="100"/>
      <c r="P428" s="8"/>
    </row>
    <row r="429">
      <c r="B429" s="8"/>
      <c r="C429" s="100"/>
      <c r="P429" s="8"/>
    </row>
    <row r="430">
      <c r="B430" s="8"/>
      <c r="C430" s="100"/>
      <c r="P430" s="8"/>
    </row>
    <row r="431">
      <c r="B431" s="8"/>
      <c r="C431" s="100"/>
      <c r="P431" s="8"/>
    </row>
    <row r="432">
      <c r="B432" s="8"/>
      <c r="C432" s="100"/>
      <c r="P432" s="8"/>
    </row>
    <row r="433">
      <c r="B433" s="8"/>
      <c r="C433" s="100"/>
      <c r="P433" s="8"/>
    </row>
    <row r="434">
      <c r="B434" s="8"/>
      <c r="C434" s="100"/>
      <c r="P434" s="8"/>
    </row>
    <row r="435">
      <c r="B435" s="8"/>
      <c r="C435" s="100"/>
      <c r="P435" s="8"/>
    </row>
    <row r="436">
      <c r="B436" s="8"/>
      <c r="C436" s="100"/>
      <c r="P436" s="8"/>
    </row>
    <row r="437">
      <c r="B437" s="8"/>
      <c r="C437" s="100"/>
      <c r="P437" s="8"/>
    </row>
    <row r="438">
      <c r="B438" s="8"/>
      <c r="C438" s="100"/>
      <c r="P438" s="8"/>
    </row>
    <row r="439">
      <c r="B439" s="8"/>
      <c r="C439" s="100"/>
      <c r="P439" s="8"/>
    </row>
    <row r="440">
      <c r="B440" s="8"/>
      <c r="C440" s="100"/>
      <c r="P440" s="8"/>
    </row>
    <row r="441">
      <c r="B441" s="8"/>
      <c r="C441" s="100"/>
      <c r="P441" s="8"/>
    </row>
    <row r="442">
      <c r="B442" s="8"/>
      <c r="C442" s="100"/>
      <c r="P442" s="8"/>
    </row>
    <row r="443">
      <c r="B443" s="8"/>
      <c r="C443" s="100"/>
      <c r="P443" s="8"/>
    </row>
    <row r="444">
      <c r="B444" s="8"/>
      <c r="C444" s="100"/>
      <c r="P444" s="8"/>
    </row>
    <row r="445">
      <c r="B445" s="8"/>
      <c r="C445" s="100"/>
      <c r="P445" s="8"/>
    </row>
    <row r="446">
      <c r="B446" s="8"/>
      <c r="C446" s="100"/>
      <c r="P446" s="8"/>
    </row>
    <row r="447">
      <c r="B447" s="8"/>
      <c r="C447" s="100"/>
      <c r="P447" s="8"/>
    </row>
    <row r="448">
      <c r="B448" s="8"/>
      <c r="C448" s="100"/>
      <c r="P448" s="8"/>
    </row>
    <row r="449">
      <c r="B449" s="8"/>
      <c r="C449" s="100"/>
      <c r="P449" s="8"/>
    </row>
    <row r="450">
      <c r="B450" s="8"/>
      <c r="C450" s="100"/>
      <c r="P450" s="8"/>
    </row>
    <row r="451">
      <c r="B451" s="8"/>
      <c r="C451" s="100"/>
      <c r="P451" s="8"/>
    </row>
    <row r="452">
      <c r="B452" s="8"/>
      <c r="C452" s="100"/>
      <c r="P452" s="8"/>
    </row>
    <row r="453">
      <c r="B453" s="8"/>
      <c r="C453" s="100"/>
      <c r="P453" s="8"/>
    </row>
    <row r="454">
      <c r="B454" s="8"/>
      <c r="C454" s="100"/>
      <c r="P454" s="8"/>
    </row>
    <row r="455">
      <c r="B455" s="8"/>
      <c r="C455" s="100"/>
      <c r="P455" s="8"/>
    </row>
    <row r="456">
      <c r="B456" s="8"/>
      <c r="C456" s="100"/>
      <c r="P456" s="8"/>
    </row>
    <row r="457">
      <c r="B457" s="8"/>
      <c r="C457" s="100"/>
      <c r="P457" s="8"/>
    </row>
    <row r="458">
      <c r="B458" s="8"/>
      <c r="C458" s="100"/>
      <c r="P458" s="8"/>
    </row>
    <row r="459">
      <c r="B459" s="8"/>
      <c r="C459" s="100"/>
      <c r="P459" s="8"/>
    </row>
    <row r="460">
      <c r="B460" s="8"/>
      <c r="C460" s="100"/>
      <c r="P460" s="8"/>
    </row>
    <row r="461">
      <c r="B461" s="8"/>
      <c r="C461" s="100"/>
      <c r="P461" s="8"/>
    </row>
    <row r="462">
      <c r="B462" s="8"/>
      <c r="C462" s="100"/>
      <c r="P462" s="8"/>
    </row>
    <row r="463">
      <c r="B463" s="8"/>
      <c r="C463" s="100"/>
      <c r="P463" s="8"/>
    </row>
    <row r="464">
      <c r="B464" s="8"/>
      <c r="C464" s="100"/>
      <c r="P464" s="8"/>
    </row>
    <row r="465">
      <c r="B465" s="8"/>
      <c r="C465" s="100"/>
      <c r="P465" s="8"/>
    </row>
    <row r="466">
      <c r="B466" s="8"/>
      <c r="C466" s="100"/>
      <c r="P466" s="8"/>
    </row>
    <row r="467">
      <c r="B467" s="8"/>
      <c r="C467" s="100"/>
      <c r="P467" s="8"/>
    </row>
    <row r="468">
      <c r="B468" s="8"/>
      <c r="C468" s="100"/>
      <c r="P468" s="8"/>
    </row>
    <row r="469">
      <c r="B469" s="8"/>
      <c r="C469" s="100"/>
      <c r="P469" s="8"/>
    </row>
    <row r="470">
      <c r="B470" s="8"/>
      <c r="C470" s="100"/>
      <c r="P470" s="8"/>
    </row>
    <row r="471">
      <c r="B471" s="8"/>
      <c r="C471" s="100"/>
      <c r="P471" s="8"/>
    </row>
    <row r="472">
      <c r="B472" s="8"/>
      <c r="C472" s="100"/>
      <c r="P472" s="8"/>
    </row>
    <row r="473">
      <c r="B473" s="8"/>
      <c r="C473" s="100"/>
      <c r="P473" s="8"/>
    </row>
    <row r="474">
      <c r="B474" s="8"/>
      <c r="C474" s="100"/>
      <c r="P474" s="8"/>
    </row>
    <row r="475">
      <c r="B475" s="8"/>
      <c r="C475" s="100"/>
      <c r="P475" s="8"/>
    </row>
    <row r="476">
      <c r="B476" s="8"/>
      <c r="C476" s="100"/>
      <c r="P476" s="8"/>
    </row>
    <row r="477">
      <c r="B477" s="8"/>
      <c r="C477" s="100"/>
      <c r="P477" s="8"/>
    </row>
    <row r="478">
      <c r="B478" s="8"/>
      <c r="C478" s="100"/>
      <c r="P478" s="8"/>
    </row>
    <row r="479">
      <c r="B479" s="8"/>
      <c r="C479" s="100"/>
      <c r="P479" s="8"/>
    </row>
    <row r="480">
      <c r="B480" s="8"/>
      <c r="C480" s="100"/>
      <c r="P480" s="8"/>
    </row>
    <row r="481">
      <c r="B481" s="8"/>
      <c r="C481" s="100"/>
      <c r="P481" s="8"/>
    </row>
    <row r="482">
      <c r="B482" s="8"/>
      <c r="C482" s="100"/>
      <c r="P482" s="8"/>
    </row>
    <row r="483">
      <c r="B483" s="8"/>
      <c r="C483" s="100"/>
      <c r="P483" s="8"/>
    </row>
    <row r="484">
      <c r="B484" s="8"/>
      <c r="C484" s="100"/>
      <c r="P484" s="8"/>
    </row>
    <row r="485">
      <c r="B485" s="8"/>
      <c r="C485" s="100"/>
      <c r="P485" s="8"/>
    </row>
    <row r="486">
      <c r="B486" s="8"/>
      <c r="C486" s="100"/>
      <c r="P486" s="8"/>
    </row>
    <row r="487">
      <c r="B487" s="8"/>
      <c r="C487" s="100"/>
      <c r="P487" s="8"/>
    </row>
    <row r="488">
      <c r="B488" s="8"/>
      <c r="C488" s="100"/>
      <c r="P488" s="8"/>
    </row>
    <row r="489">
      <c r="B489" s="8"/>
      <c r="C489" s="100"/>
      <c r="P489" s="8"/>
    </row>
    <row r="490">
      <c r="B490" s="8"/>
      <c r="C490" s="100"/>
      <c r="P490" s="8"/>
    </row>
    <row r="491">
      <c r="B491" s="8"/>
      <c r="C491" s="100"/>
      <c r="P491" s="8"/>
    </row>
    <row r="492">
      <c r="B492" s="8"/>
      <c r="C492" s="100"/>
      <c r="P492" s="8"/>
    </row>
    <row r="493">
      <c r="B493" s="8"/>
      <c r="C493" s="100"/>
      <c r="P493" s="8"/>
    </row>
    <row r="494">
      <c r="B494" s="8"/>
      <c r="C494" s="100"/>
      <c r="P494" s="8"/>
    </row>
    <row r="495">
      <c r="B495" s="8"/>
      <c r="C495" s="100"/>
      <c r="P495" s="8"/>
    </row>
    <row r="496">
      <c r="B496" s="8"/>
      <c r="C496" s="100"/>
      <c r="P496" s="8"/>
    </row>
    <row r="497">
      <c r="B497" s="8"/>
      <c r="C497" s="100"/>
      <c r="P497" s="8"/>
    </row>
    <row r="498">
      <c r="B498" s="8"/>
      <c r="C498" s="100"/>
      <c r="P498" s="8"/>
    </row>
    <row r="499">
      <c r="B499" s="8"/>
      <c r="C499" s="100"/>
      <c r="P499" s="8"/>
    </row>
    <row r="500">
      <c r="B500" s="8"/>
      <c r="C500" s="100"/>
      <c r="P500" s="8"/>
    </row>
    <row r="501">
      <c r="B501" s="8"/>
      <c r="C501" s="100"/>
      <c r="P501" s="8"/>
    </row>
    <row r="502">
      <c r="B502" s="8"/>
      <c r="C502" s="100"/>
      <c r="P502" s="8"/>
    </row>
    <row r="503">
      <c r="B503" s="8"/>
      <c r="C503" s="100"/>
      <c r="P503" s="8"/>
    </row>
    <row r="504">
      <c r="B504" s="8"/>
      <c r="C504" s="100"/>
      <c r="P504" s="8"/>
    </row>
    <row r="505">
      <c r="B505" s="8"/>
      <c r="C505" s="100"/>
      <c r="P505" s="8"/>
    </row>
    <row r="506">
      <c r="B506" s="8"/>
      <c r="C506" s="100"/>
      <c r="P506" s="8"/>
    </row>
    <row r="507">
      <c r="B507" s="8"/>
      <c r="C507" s="100"/>
      <c r="P507" s="8"/>
    </row>
    <row r="508">
      <c r="B508" s="8"/>
      <c r="C508" s="100"/>
      <c r="P508" s="8"/>
    </row>
    <row r="509">
      <c r="B509" s="8"/>
      <c r="C509" s="100"/>
      <c r="P509" s="8"/>
    </row>
    <row r="510">
      <c r="B510" s="8"/>
      <c r="C510" s="100"/>
      <c r="P510" s="8"/>
    </row>
    <row r="511">
      <c r="B511" s="8"/>
      <c r="C511" s="100"/>
      <c r="P511" s="8"/>
    </row>
    <row r="512">
      <c r="B512" s="8"/>
      <c r="C512" s="100"/>
      <c r="P512" s="8"/>
    </row>
    <row r="513">
      <c r="B513" s="8"/>
      <c r="C513" s="100"/>
      <c r="P513" s="8"/>
    </row>
    <row r="514">
      <c r="B514" s="8"/>
      <c r="C514" s="100"/>
      <c r="P514" s="8"/>
    </row>
    <row r="515">
      <c r="B515" s="8"/>
      <c r="C515" s="100"/>
      <c r="P515" s="8"/>
    </row>
    <row r="516">
      <c r="B516" s="8"/>
      <c r="C516" s="100"/>
      <c r="P516" s="8"/>
    </row>
    <row r="517">
      <c r="B517" s="8"/>
      <c r="C517" s="100"/>
      <c r="P517" s="8"/>
    </row>
    <row r="518">
      <c r="B518" s="8"/>
      <c r="C518" s="100"/>
      <c r="P518" s="8"/>
    </row>
    <row r="519">
      <c r="B519" s="8"/>
      <c r="C519" s="100"/>
      <c r="P519" s="8"/>
    </row>
    <row r="520">
      <c r="B520" s="8"/>
      <c r="C520" s="100"/>
      <c r="P520" s="8"/>
    </row>
    <row r="521">
      <c r="B521" s="8"/>
      <c r="C521" s="100"/>
      <c r="P521" s="8"/>
    </row>
    <row r="522">
      <c r="B522" s="8"/>
      <c r="C522" s="100"/>
      <c r="P522" s="8"/>
    </row>
    <row r="523">
      <c r="B523" s="8"/>
      <c r="C523" s="100"/>
      <c r="P523" s="8"/>
    </row>
    <row r="524">
      <c r="B524" s="8"/>
      <c r="C524" s="100"/>
      <c r="P524" s="8"/>
    </row>
    <row r="525">
      <c r="B525" s="8"/>
      <c r="C525" s="100"/>
      <c r="P525" s="8"/>
    </row>
    <row r="526">
      <c r="B526" s="8"/>
      <c r="C526" s="100"/>
      <c r="P526" s="8"/>
    </row>
    <row r="527">
      <c r="B527" s="8"/>
      <c r="C527" s="100"/>
      <c r="P527" s="8"/>
    </row>
    <row r="528">
      <c r="B528" s="8"/>
      <c r="C528" s="100"/>
      <c r="P528" s="8"/>
    </row>
    <row r="529">
      <c r="B529" s="8"/>
      <c r="C529" s="100"/>
      <c r="P529" s="8"/>
    </row>
    <row r="530">
      <c r="B530" s="8"/>
      <c r="C530" s="100"/>
      <c r="P530" s="8"/>
    </row>
    <row r="531">
      <c r="B531" s="8"/>
      <c r="C531" s="100"/>
      <c r="P531" s="8"/>
    </row>
    <row r="532">
      <c r="B532" s="8"/>
      <c r="C532" s="100"/>
      <c r="P532" s="8"/>
    </row>
    <row r="533">
      <c r="B533" s="8"/>
      <c r="C533" s="100"/>
      <c r="P533" s="8"/>
    </row>
    <row r="534">
      <c r="B534" s="8"/>
      <c r="C534" s="100"/>
      <c r="P534" s="8"/>
    </row>
    <row r="535">
      <c r="B535" s="8"/>
      <c r="C535" s="100"/>
      <c r="P535" s="8"/>
    </row>
    <row r="536">
      <c r="B536" s="8"/>
      <c r="C536" s="100"/>
      <c r="P536" s="8"/>
    </row>
    <row r="537">
      <c r="B537" s="8"/>
      <c r="C537" s="100"/>
      <c r="P537" s="8"/>
    </row>
    <row r="538">
      <c r="B538" s="8"/>
      <c r="C538" s="100"/>
      <c r="P538" s="8"/>
    </row>
    <row r="539">
      <c r="B539" s="8"/>
      <c r="C539" s="100"/>
      <c r="P539" s="8"/>
    </row>
    <row r="540">
      <c r="B540" s="8"/>
      <c r="C540" s="100"/>
      <c r="P540" s="8"/>
    </row>
    <row r="541">
      <c r="B541" s="8"/>
      <c r="C541" s="100"/>
      <c r="P541" s="8"/>
    </row>
    <row r="542">
      <c r="B542" s="8"/>
      <c r="C542" s="100"/>
      <c r="P542" s="8"/>
    </row>
    <row r="543">
      <c r="B543" s="8"/>
      <c r="C543" s="100"/>
      <c r="P543" s="8"/>
    </row>
    <row r="544">
      <c r="B544" s="8"/>
      <c r="C544" s="100"/>
      <c r="P544" s="8"/>
    </row>
    <row r="545">
      <c r="B545" s="8"/>
      <c r="C545" s="100"/>
      <c r="P545" s="8"/>
    </row>
    <row r="546">
      <c r="B546" s="8"/>
      <c r="C546" s="100"/>
      <c r="P546" s="8"/>
    </row>
    <row r="547">
      <c r="B547" s="8"/>
      <c r="C547" s="100"/>
      <c r="P547" s="8"/>
    </row>
    <row r="548">
      <c r="B548" s="8"/>
      <c r="C548" s="100"/>
      <c r="P548" s="8"/>
    </row>
    <row r="549">
      <c r="B549" s="8"/>
      <c r="C549" s="100"/>
      <c r="P549" s="8"/>
    </row>
    <row r="550">
      <c r="B550" s="8"/>
      <c r="C550" s="100"/>
      <c r="P550" s="8"/>
    </row>
    <row r="551">
      <c r="B551" s="8"/>
      <c r="C551" s="100"/>
      <c r="P551" s="8"/>
    </row>
    <row r="552">
      <c r="B552" s="8"/>
      <c r="C552" s="100"/>
      <c r="P552" s="8"/>
    </row>
    <row r="553">
      <c r="B553" s="8"/>
      <c r="C553" s="100"/>
      <c r="P553" s="8"/>
    </row>
    <row r="554">
      <c r="B554" s="8"/>
      <c r="C554" s="100"/>
      <c r="P554" s="8"/>
    </row>
    <row r="555">
      <c r="B555" s="8"/>
      <c r="C555" s="100"/>
      <c r="P555" s="8"/>
    </row>
    <row r="556">
      <c r="B556" s="8"/>
      <c r="C556" s="100"/>
      <c r="P556" s="8"/>
    </row>
    <row r="557">
      <c r="B557" s="8"/>
      <c r="C557" s="100"/>
      <c r="P557" s="8"/>
    </row>
    <row r="558">
      <c r="B558" s="8"/>
      <c r="C558" s="100"/>
      <c r="P558" s="8"/>
    </row>
    <row r="559">
      <c r="B559" s="8"/>
      <c r="C559" s="100"/>
      <c r="P559" s="8"/>
    </row>
    <row r="560">
      <c r="B560" s="8"/>
      <c r="C560" s="100"/>
      <c r="P560" s="8"/>
    </row>
    <row r="561">
      <c r="B561" s="8"/>
      <c r="C561" s="100"/>
      <c r="P561" s="8"/>
    </row>
    <row r="562">
      <c r="B562" s="8"/>
      <c r="C562" s="100"/>
      <c r="P562" s="8"/>
    </row>
    <row r="563">
      <c r="B563" s="8"/>
      <c r="C563" s="100"/>
      <c r="P563" s="8"/>
    </row>
    <row r="564">
      <c r="B564" s="8"/>
      <c r="C564" s="100"/>
      <c r="P564" s="8"/>
    </row>
    <row r="565">
      <c r="B565" s="8"/>
      <c r="C565" s="100"/>
      <c r="P565" s="8"/>
    </row>
    <row r="566">
      <c r="B566" s="8"/>
      <c r="C566" s="100"/>
      <c r="P566" s="8"/>
    </row>
    <row r="567">
      <c r="B567" s="8"/>
      <c r="C567" s="100"/>
      <c r="P567" s="8"/>
    </row>
    <row r="568">
      <c r="B568" s="8"/>
      <c r="C568" s="100"/>
      <c r="P568" s="8"/>
    </row>
    <row r="569">
      <c r="B569" s="8"/>
      <c r="C569" s="100"/>
      <c r="P569" s="8"/>
    </row>
    <row r="570">
      <c r="B570" s="8"/>
      <c r="C570" s="100"/>
      <c r="P570" s="8"/>
    </row>
    <row r="571">
      <c r="B571" s="8"/>
      <c r="C571" s="100"/>
      <c r="P571" s="8"/>
    </row>
    <row r="572">
      <c r="B572" s="8"/>
      <c r="C572" s="100"/>
      <c r="P572" s="8"/>
    </row>
    <row r="573">
      <c r="B573" s="8"/>
      <c r="C573" s="100"/>
      <c r="P573" s="8"/>
    </row>
    <row r="574">
      <c r="B574" s="8"/>
      <c r="C574" s="100"/>
      <c r="P574" s="8"/>
    </row>
    <row r="575">
      <c r="B575" s="8"/>
      <c r="C575" s="100"/>
      <c r="P575" s="8"/>
    </row>
    <row r="576">
      <c r="B576" s="8"/>
      <c r="C576" s="100"/>
      <c r="P576" s="8"/>
    </row>
    <row r="577">
      <c r="B577" s="8"/>
      <c r="C577" s="100"/>
      <c r="P577" s="8"/>
    </row>
    <row r="578">
      <c r="B578" s="8"/>
      <c r="C578" s="100"/>
      <c r="P578" s="8"/>
    </row>
    <row r="579">
      <c r="B579" s="8"/>
      <c r="C579" s="100"/>
      <c r="P579" s="8"/>
    </row>
    <row r="580">
      <c r="B580" s="8"/>
      <c r="C580" s="100"/>
      <c r="P580" s="8"/>
    </row>
    <row r="581">
      <c r="B581" s="8"/>
      <c r="C581" s="100"/>
      <c r="P581" s="8"/>
    </row>
    <row r="582">
      <c r="B582" s="8"/>
      <c r="C582" s="100"/>
      <c r="P582" s="8"/>
    </row>
    <row r="583">
      <c r="B583" s="8"/>
      <c r="C583" s="100"/>
      <c r="P583" s="8"/>
    </row>
    <row r="584">
      <c r="B584" s="8"/>
      <c r="C584" s="100"/>
      <c r="P584" s="8"/>
    </row>
    <row r="585">
      <c r="B585" s="8"/>
      <c r="C585" s="100"/>
      <c r="P585" s="8"/>
    </row>
    <row r="586">
      <c r="B586" s="8"/>
      <c r="C586" s="100"/>
      <c r="P586" s="8"/>
    </row>
    <row r="587">
      <c r="B587" s="8"/>
      <c r="C587" s="100"/>
      <c r="P587" s="8"/>
    </row>
    <row r="588">
      <c r="B588" s="8"/>
      <c r="C588" s="100"/>
      <c r="P588" s="8"/>
    </row>
    <row r="589">
      <c r="B589" s="8"/>
      <c r="C589" s="100"/>
      <c r="P589" s="8"/>
    </row>
    <row r="590">
      <c r="B590" s="8"/>
      <c r="C590" s="100"/>
      <c r="P590" s="8"/>
    </row>
    <row r="591">
      <c r="B591" s="8"/>
      <c r="C591" s="100"/>
      <c r="P591" s="8"/>
    </row>
    <row r="592">
      <c r="B592" s="8"/>
      <c r="C592" s="100"/>
      <c r="P592" s="8"/>
    </row>
    <row r="593">
      <c r="B593" s="8"/>
      <c r="C593" s="100"/>
      <c r="P593" s="8"/>
    </row>
    <row r="594">
      <c r="B594" s="8"/>
      <c r="C594" s="100"/>
      <c r="P594" s="8"/>
    </row>
    <row r="595">
      <c r="B595" s="8"/>
      <c r="C595" s="100"/>
      <c r="P595" s="8"/>
    </row>
    <row r="596">
      <c r="B596" s="8"/>
      <c r="C596" s="100"/>
      <c r="P596" s="8"/>
    </row>
    <row r="597">
      <c r="B597" s="8"/>
      <c r="C597" s="100"/>
      <c r="P597" s="8"/>
    </row>
    <row r="598">
      <c r="B598" s="8"/>
      <c r="C598" s="100"/>
      <c r="P598" s="8"/>
    </row>
    <row r="599">
      <c r="B599" s="8"/>
      <c r="C599" s="100"/>
      <c r="P599" s="8"/>
    </row>
    <row r="600">
      <c r="B600" s="8"/>
      <c r="C600" s="100"/>
      <c r="P600" s="8"/>
    </row>
    <row r="601">
      <c r="B601" s="8"/>
      <c r="C601" s="100"/>
      <c r="P601" s="8"/>
    </row>
    <row r="602">
      <c r="B602" s="8"/>
      <c r="C602" s="100"/>
      <c r="P602" s="8"/>
    </row>
    <row r="603">
      <c r="B603" s="8"/>
      <c r="C603" s="100"/>
      <c r="P603" s="8"/>
    </row>
    <row r="604">
      <c r="B604" s="8"/>
      <c r="C604" s="100"/>
      <c r="P604" s="8"/>
    </row>
    <row r="605">
      <c r="B605" s="8"/>
      <c r="C605" s="100"/>
      <c r="P605" s="8"/>
    </row>
    <row r="606">
      <c r="B606" s="8"/>
      <c r="C606" s="100"/>
      <c r="P606" s="8"/>
    </row>
    <row r="607">
      <c r="B607" s="8"/>
      <c r="C607" s="100"/>
      <c r="P607" s="8"/>
    </row>
    <row r="608">
      <c r="B608" s="8"/>
      <c r="C608" s="100"/>
      <c r="P608" s="8"/>
    </row>
    <row r="609">
      <c r="B609" s="8"/>
      <c r="C609" s="100"/>
      <c r="P609" s="8"/>
    </row>
    <row r="610">
      <c r="B610" s="8"/>
      <c r="C610" s="100"/>
      <c r="P610" s="8"/>
    </row>
    <row r="611">
      <c r="B611" s="8"/>
      <c r="C611" s="100"/>
      <c r="P611" s="8"/>
    </row>
    <row r="612">
      <c r="B612" s="8"/>
      <c r="C612" s="100"/>
      <c r="P612" s="8"/>
    </row>
    <row r="613">
      <c r="B613" s="8"/>
      <c r="C613" s="100"/>
      <c r="P613" s="8"/>
    </row>
    <row r="614">
      <c r="B614" s="8"/>
      <c r="C614" s="100"/>
      <c r="P614" s="8"/>
    </row>
    <row r="615">
      <c r="B615" s="8"/>
      <c r="C615" s="100"/>
      <c r="P615" s="8"/>
    </row>
    <row r="616">
      <c r="B616" s="8"/>
      <c r="C616" s="100"/>
      <c r="P616" s="8"/>
    </row>
    <row r="617">
      <c r="B617" s="8"/>
      <c r="C617" s="100"/>
      <c r="P617" s="8"/>
    </row>
    <row r="618">
      <c r="B618" s="8"/>
      <c r="C618" s="100"/>
      <c r="P618" s="8"/>
    </row>
    <row r="619">
      <c r="B619" s="8"/>
      <c r="C619" s="100"/>
      <c r="P619" s="8"/>
    </row>
    <row r="620">
      <c r="B620" s="8"/>
      <c r="C620" s="100"/>
      <c r="P620" s="8"/>
    </row>
    <row r="621">
      <c r="B621" s="8"/>
      <c r="C621" s="100"/>
      <c r="P621" s="8"/>
    </row>
    <row r="622">
      <c r="B622" s="8"/>
      <c r="C622" s="100"/>
      <c r="P622" s="8"/>
    </row>
    <row r="623">
      <c r="B623" s="8"/>
      <c r="C623" s="100"/>
      <c r="P623" s="8"/>
    </row>
    <row r="624">
      <c r="B624" s="8"/>
      <c r="C624" s="100"/>
      <c r="P624" s="8"/>
    </row>
    <row r="625">
      <c r="B625" s="8"/>
      <c r="C625" s="100"/>
      <c r="P625" s="8"/>
    </row>
    <row r="626">
      <c r="B626" s="8"/>
      <c r="C626" s="100"/>
      <c r="P626" s="8"/>
    </row>
    <row r="627">
      <c r="B627" s="8"/>
      <c r="C627" s="100"/>
      <c r="P627" s="8"/>
    </row>
    <row r="628">
      <c r="B628" s="8"/>
      <c r="C628" s="100"/>
      <c r="P628" s="8"/>
    </row>
    <row r="629">
      <c r="B629" s="8"/>
      <c r="C629" s="100"/>
      <c r="P629" s="8"/>
    </row>
    <row r="630">
      <c r="B630" s="8"/>
      <c r="C630" s="100"/>
      <c r="P630" s="8"/>
    </row>
    <row r="631">
      <c r="B631" s="8"/>
      <c r="C631" s="100"/>
      <c r="P631" s="8"/>
    </row>
    <row r="632">
      <c r="B632" s="8"/>
      <c r="C632" s="100"/>
      <c r="P632" s="8"/>
    </row>
    <row r="633">
      <c r="B633" s="8"/>
      <c r="C633" s="100"/>
      <c r="P633" s="8"/>
    </row>
    <row r="634">
      <c r="B634" s="8"/>
      <c r="C634" s="100"/>
      <c r="P634" s="8"/>
    </row>
    <row r="635">
      <c r="B635" s="8"/>
      <c r="C635" s="100"/>
      <c r="P635" s="8"/>
    </row>
    <row r="636">
      <c r="B636" s="8"/>
      <c r="C636" s="100"/>
      <c r="P636" s="8"/>
    </row>
    <row r="637">
      <c r="B637" s="8"/>
      <c r="C637" s="100"/>
      <c r="P637" s="8"/>
    </row>
    <row r="638">
      <c r="B638" s="8"/>
      <c r="C638" s="100"/>
      <c r="P638" s="8"/>
    </row>
    <row r="639">
      <c r="B639" s="8"/>
      <c r="C639" s="100"/>
      <c r="P639" s="8"/>
    </row>
    <row r="640">
      <c r="B640" s="8"/>
      <c r="C640" s="100"/>
      <c r="P640" s="8"/>
    </row>
    <row r="641">
      <c r="B641" s="8"/>
      <c r="C641" s="100"/>
      <c r="P641" s="8"/>
    </row>
    <row r="642">
      <c r="B642" s="8"/>
      <c r="C642" s="100"/>
      <c r="P642" s="8"/>
    </row>
    <row r="643">
      <c r="B643" s="8"/>
      <c r="C643" s="100"/>
      <c r="P643" s="8"/>
    </row>
    <row r="644">
      <c r="B644" s="8"/>
      <c r="C644" s="100"/>
      <c r="P644" s="8"/>
    </row>
    <row r="645">
      <c r="B645" s="8"/>
      <c r="C645" s="100"/>
      <c r="P645" s="8"/>
    </row>
    <row r="646">
      <c r="B646" s="8"/>
      <c r="C646" s="100"/>
      <c r="P646" s="8"/>
    </row>
    <row r="647">
      <c r="B647" s="8"/>
      <c r="C647" s="100"/>
      <c r="P647" s="8"/>
    </row>
    <row r="648">
      <c r="B648" s="8"/>
      <c r="C648" s="100"/>
      <c r="P648" s="8"/>
    </row>
    <row r="649">
      <c r="B649" s="8"/>
      <c r="C649" s="100"/>
      <c r="P649" s="8"/>
    </row>
    <row r="650">
      <c r="B650" s="8"/>
      <c r="C650" s="100"/>
      <c r="P650" s="8"/>
    </row>
    <row r="651">
      <c r="B651" s="8"/>
      <c r="C651" s="100"/>
      <c r="P651" s="8"/>
    </row>
    <row r="652">
      <c r="B652" s="8"/>
      <c r="C652" s="100"/>
      <c r="P652" s="8"/>
    </row>
    <row r="653">
      <c r="B653" s="8"/>
      <c r="C653" s="100"/>
      <c r="P653" s="8"/>
    </row>
    <row r="654">
      <c r="B654" s="8"/>
      <c r="C654" s="100"/>
      <c r="P654" s="8"/>
    </row>
    <row r="655">
      <c r="B655" s="8"/>
      <c r="C655" s="100"/>
      <c r="P655" s="8"/>
    </row>
    <row r="656">
      <c r="B656" s="8"/>
      <c r="C656" s="100"/>
      <c r="P656" s="8"/>
    </row>
    <row r="657">
      <c r="B657" s="8"/>
      <c r="C657" s="100"/>
      <c r="P657" s="8"/>
    </row>
    <row r="658">
      <c r="B658" s="8"/>
      <c r="C658" s="100"/>
      <c r="P658" s="8"/>
    </row>
    <row r="659">
      <c r="B659" s="8"/>
      <c r="C659" s="100"/>
      <c r="P659" s="8"/>
    </row>
    <row r="660">
      <c r="B660" s="8"/>
      <c r="C660" s="100"/>
      <c r="P660" s="8"/>
    </row>
    <row r="661">
      <c r="B661" s="8"/>
      <c r="C661" s="100"/>
      <c r="P661" s="8"/>
    </row>
    <row r="662">
      <c r="B662" s="8"/>
      <c r="C662" s="100"/>
      <c r="P662" s="8"/>
    </row>
    <row r="663">
      <c r="B663" s="8"/>
      <c r="C663" s="100"/>
      <c r="P663" s="8"/>
    </row>
    <row r="664">
      <c r="B664" s="8"/>
      <c r="C664" s="100"/>
      <c r="P664" s="8"/>
    </row>
    <row r="665">
      <c r="B665" s="8"/>
      <c r="C665" s="100"/>
      <c r="P665" s="8"/>
    </row>
    <row r="666">
      <c r="B666" s="8"/>
      <c r="C666" s="100"/>
      <c r="P666" s="8"/>
    </row>
    <row r="667">
      <c r="B667" s="8"/>
      <c r="C667" s="100"/>
      <c r="P667" s="8"/>
    </row>
    <row r="668">
      <c r="B668" s="8"/>
      <c r="C668" s="100"/>
      <c r="P668" s="8"/>
    </row>
    <row r="669">
      <c r="B669" s="8"/>
      <c r="C669" s="100"/>
      <c r="P669" s="8"/>
    </row>
    <row r="670">
      <c r="B670" s="8"/>
      <c r="C670" s="100"/>
      <c r="P670" s="8"/>
    </row>
    <row r="671">
      <c r="B671" s="8"/>
      <c r="C671" s="100"/>
      <c r="P671" s="8"/>
    </row>
    <row r="672">
      <c r="B672" s="8"/>
      <c r="C672" s="100"/>
      <c r="P672" s="8"/>
    </row>
    <row r="673">
      <c r="B673" s="8"/>
      <c r="C673" s="100"/>
      <c r="P673" s="8"/>
    </row>
    <row r="674">
      <c r="B674" s="8"/>
      <c r="C674" s="100"/>
      <c r="P674" s="8"/>
    </row>
    <row r="675">
      <c r="B675" s="8"/>
      <c r="C675" s="100"/>
      <c r="P675" s="8"/>
    </row>
    <row r="676">
      <c r="B676" s="8"/>
      <c r="C676" s="100"/>
      <c r="P676" s="8"/>
    </row>
    <row r="677">
      <c r="B677" s="8"/>
      <c r="C677" s="100"/>
      <c r="P677" s="8"/>
    </row>
    <row r="678">
      <c r="B678" s="8"/>
      <c r="C678" s="100"/>
      <c r="P678" s="8"/>
    </row>
    <row r="679">
      <c r="B679" s="8"/>
      <c r="C679" s="100"/>
      <c r="P679" s="8"/>
    </row>
    <row r="680">
      <c r="B680" s="8"/>
      <c r="C680" s="100"/>
      <c r="P680" s="8"/>
    </row>
    <row r="681">
      <c r="B681" s="8"/>
      <c r="C681" s="100"/>
      <c r="P681" s="8"/>
    </row>
    <row r="682">
      <c r="B682" s="8"/>
      <c r="C682" s="100"/>
      <c r="P682" s="8"/>
    </row>
    <row r="683">
      <c r="B683" s="8"/>
      <c r="C683" s="100"/>
      <c r="P683" s="8"/>
    </row>
    <row r="684">
      <c r="B684" s="8"/>
      <c r="C684" s="100"/>
      <c r="P684" s="8"/>
    </row>
    <row r="685">
      <c r="B685" s="8"/>
      <c r="C685" s="100"/>
      <c r="P685" s="8"/>
    </row>
    <row r="686">
      <c r="B686" s="8"/>
      <c r="C686" s="100"/>
      <c r="P686" s="8"/>
    </row>
    <row r="687">
      <c r="B687" s="8"/>
      <c r="C687" s="100"/>
      <c r="P687" s="8"/>
    </row>
    <row r="688">
      <c r="B688" s="8"/>
      <c r="C688" s="100"/>
      <c r="P688" s="8"/>
    </row>
    <row r="689">
      <c r="B689" s="8"/>
      <c r="C689" s="100"/>
      <c r="P689" s="8"/>
    </row>
    <row r="690">
      <c r="B690" s="8"/>
      <c r="C690" s="100"/>
      <c r="P690" s="8"/>
    </row>
    <row r="691">
      <c r="B691" s="8"/>
      <c r="C691" s="100"/>
      <c r="P691" s="8"/>
    </row>
    <row r="692">
      <c r="B692" s="8"/>
      <c r="C692" s="100"/>
      <c r="P692" s="8"/>
    </row>
    <row r="693">
      <c r="B693" s="8"/>
      <c r="C693" s="100"/>
      <c r="P693" s="8"/>
    </row>
    <row r="694">
      <c r="B694" s="8"/>
      <c r="C694" s="100"/>
      <c r="P694" s="8"/>
    </row>
    <row r="695">
      <c r="B695" s="8"/>
      <c r="C695" s="100"/>
      <c r="P695" s="8"/>
    </row>
    <row r="696">
      <c r="B696" s="8"/>
      <c r="C696" s="100"/>
      <c r="P696" s="8"/>
    </row>
    <row r="697">
      <c r="B697" s="8"/>
      <c r="C697" s="100"/>
      <c r="P697" s="8"/>
    </row>
    <row r="698">
      <c r="B698" s="8"/>
      <c r="C698" s="100"/>
      <c r="P698" s="8"/>
    </row>
    <row r="699">
      <c r="B699" s="8"/>
      <c r="C699" s="100"/>
      <c r="P699" s="8"/>
    </row>
    <row r="700">
      <c r="B700" s="8"/>
      <c r="C700" s="100"/>
      <c r="P700" s="8"/>
    </row>
    <row r="701">
      <c r="B701" s="8"/>
      <c r="C701" s="100"/>
      <c r="P701" s="8"/>
    </row>
    <row r="702">
      <c r="B702" s="8"/>
      <c r="C702" s="100"/>
      <c r="P702" s="8"/>
    </row>
    <row r="703">
      <c r="B703" s="8"/>
      <c r="C703" s="100"/>
      <c r="P703" s="8"/>
    </row>
    <row r="704">
      <c r="B704" s="8"/>
      <c r="C704" s="100"/>
      <c r="P704" s="8"/>
    </row>
    <row r="705">
      <c r="B705" s="8"/>
      <c r="C705" s="100"/>
      <c r="P705" s="8"/>
    </row>
    <row r="706">
      <c r="B706" s="8"/>
      <c r="C706" s="100"/>
      <c r="P706" s="8"/>
    </row>
    <row r="707">
      <c r="B707" s="8"/>
      <c r="C707" s="100"/>
      <c r="P707" s="8"/>
    </row>
    <row r="708">
      <c r="B708" s="8"/>
      <c r="C708" s="100"/>
      <c r="P708" s="8"/>
    </row>
    <row r="709">
      <c r="B709" s="8"/>
      <c r="C709" s="100"/>
      <c r="P709" s="8"/>
    </row>
    <row r="710">
      <c r="B710" s="8"/>
      <c r="C710" s="100"/>
      <c r="P710" s="8"/>
    </row>
    <row r="711">
      <c r="B711" s="8"/>
      <c r="C711" s="100"/>
      <c r="P711" s="8"/>
    </row>
    <row r="712">
      <c r="B712" s="8"/>
      <c r="C712" s="100"/>
      <c r="P712" s="8"/>
    </row>
    <row r="713">
      <c r="B713" s="8"/>
      <c r="C713" s="100"/>
      <c r="P713" s="8"/>
    </row>
    <row r="714">
      <c r="B714" s="8"/>
      <c r="C714" s="100"/>
      <c r="P714" s="8"/>
    </row>
    <row r="715">
      <c r="B715" s="8"/>
      <c r="C715" s="100"/>
      <c r="P715" s="8"/>
    </row>
    <row r="716">
      <c r="B716" s="8"/>
      <c r="C716" s="100"/>
      <c r="P716" s="8"/>
    </row>
    <row r="717">
      <c r="B717" s="8"/>
      <c r="C717" s="100"/>
      <c r="P717" s="8"/>
    </row>
    <row r="718">
      <c r="B718" s="8"/>
      <c r="C718" s="100"/>
      <c r="P718" s="8"/>
    </row>
    <row r="719">
      <c r="B719" s="8"/>
      <c r="C719" s="100"/>
      <c r="P719" s="8"/>
    </row>
    <row r="720">
      <c r="B720" s="8"/>
      <c r="C720" s="100"/>
      <c r="P720" s="8"/>
    </row>
    <row r="721">
      <c r="B721" s="8"/>
      <c r="C721" s="100"/>
      <c r="P721" s="8"/>
    </row>
    <row r="722">
      <c r="B722" s="8"/>
      <c r="C722" s="100"/>
      <c r="P722" s="8"/>
    </row>
    <row r="723">
      <c r="B723" s="8"/>
      <c r="C723" s="100"/>
      <c r="P723" s="8"/>
    </row>
    <row r="724">
      <c r="B724" s="8"/>
      <c r="C724" s="100"/>
      <c r="P724" s="8"/>
    </row>
    <row r="725">
      <c r="B725" s="8"/>
      <c r="C725" s="100"/>
      <c r="P725" s="8"/>
    </row>
    <row r="726">
      <c r="B726" s="8"/>
      <c r="C726" s="100"/>
      <c r="P726" s="8"/>
    </row>
    <row r="727">
      <c r="B727" s="8"/>
      <c r="C727" s="100"/>
      <c r="P727" s="8"/>
    </row>
    <row r="728">
      <c r="B728" s="8"/>
      <c r="C728" s="100"/>
      <c r="P728" s="8"/>
    </row>
    <row r="729">
      <c r="B729" s="8"/>
      <c r="C729" s="100"/>
      <c r="P729" s="8"/>
    </row>
    <row r="730">
      <c r="B730" s="8"/>
      <c r="C730" s="100"/>
      <c r="P730" s="8"/>
    </row>
    <row r="731">
      <c r="B731" s="8"/>
      <c r="C731" s="100"/>
      <c r="P731" s="8"/>
    </row>
    <row r="732">
      <c r="B732" s="8"/>
      <c r="C732" s="100"/>
      <c r="P732" s="8"/>
    </row>
    <row r="733">
      <c r="B733" s="8"/>
      <c r="C733" s="100"/>
      <c r="P733" s="8"/>
    </row>
    <row r="734">
      <c r="B734" s="8"/>
      <c r="C734" s="100"/>
      <c r="P734" s="8"/>
    </row>
    <row r="735">
      <c r="B735" s="8"/>
      <c r="C735" s="100"/>
      <c r="P735" s="8"/>
    </row>
    <row r="736">
      <c r="B736" s="8"/>
      <c r="C736" s="100"/>
      <c r="P736" s="8"/>
    </row>
    <row r="737">
      <c r="B737" s="8"/>
      <c r="C737" s="100"/>
      <c r="P737" s="8"/>
    </row>
    <row r="738">
      <c r="B738" s="8"/>
      <c r="C738" s="100"/>
      <c r="P738" s="8"/>
    </row>
    <row r="739">
      <c r="B739" s="8"/>
      <c r="C739" s="100"/>
      <c r="P739" s="8"/>
    </row>
    <row r="740">
      <c r="B740" s="8"/>
      <c r="C740" s="100"/>
      <c r="P740" s="8"/>
    </row>
    <row r="741">
      <c r="B741" s="8"/>
      <c r="C741" s="100"/>
      <c r="P741" s="8"/>
    </row>
    <row r="742">
      <c r="B742" s="8"/>
      <c r="C742" s="100"/>
      <c r="P742" s="8"/>
    </row>
    <row r="743">
      <c r="B743" s="8"/>
      <c r="C743" s="100"/>
      <c r="P743" s="8"/>
    </row>
    <row r="744">
      <c r="B744" s="8"/>
      <c r="C744" s="100"/>
      <c r="P744" s="8"/>
    </row>
    <row r="745">
      <c r="B745" s="8"/>
      <c r="C745" s="100"/>
      <c r="P745" s="8"/>
    </row>
    <row r="746">
      <c r="B746" s="8"/>
      <c r="C746" s="100"/>
      <c r="P746" s="8"/>
    </row>
    <row r="747">
      <c r="B747" s="8"/>
      <c r="C747" s="100"/>
      <c r="P747" s="8"/>
    </row>
    <row r="748">
      <c r="B748" s="8"/>
      <c r="C748" s="100"/>
      <c r="P748" s="8"/>
    </row>
    <row r="749">
      <c r="B749" s="8"/>
      <c r="C749" s="100"/>
      <c r="P749" s="8"/>
    </row>
    <row r="750">
      <c r="B750" s="8"/>
      <c r="C750" s="100"/>
      <c r="P750" s="8"/>
    </row>
    <row r="751">
      <c r="B751" s="8"/>
      <c r="C751" s="100"/>
      <c r="P751" s="8"/>
    </row>
    <row r="752">
      <c r="B752" s="8"/>
      <c r="C752" s="100"/>
      <c r="P752" s="8"/>
    </row>
    <row r="753">
      <c r="B753" s="8"/>
      <c r="C753" s="100"/>
      <c r="P753" s="8"/>
    </row>
    <row r="754">
      <c r="B754" s="8"/>
      <c r="C754" s="100"/>
      <c r="P754" s="8"/>
    </row>
    <row r="755">
      <c r="B755" s="8"/>
      <c r="C755" s="100"/>
      <c r="P755" s="8"/>
    </row>
    <row r="756">
      <c r="B756" s="8"/>
      <c r="C756" s="100"/>
      <c r="P756" s="8"/>
    </row>
    <row r="757">
      <c r="B757" s="8"/>
      <c r="C757" s="100"/>
      <c r="P757" s="8"/>
    </row>
    <row r="758">
      <c r="B758" s="8"/>
      <c r="C758" s="100"/>
      <c r="P758" s="8"/>
    </row>
    <row r="759">
      <c r="B759" s="8"/>
      <c r="C759" s="100"/>
      <c r="P759" s="8"/>
    </row>
    <row r="760">
      <c r="B760" s="8"/>
      <c r="C760" s="100"/>
      <c r="P760" s="8"/>
    </row>
    <row r="761">
      <c r="B761" s="8"/>
      <c r="C761" s="100"/>
      <c r="P761" s="8"/>
    </row>
    <row r="762">
      <c r="B762" s="8"/>
      <c r="C762" s="100"/>
      <c r="P762" s="8"/>
    </row>
    <row r="763">
      <c r="B763" s="8"/>
      <c r="C763" s="100"/>
      <c r="P763" s="8"/>
    </row>
    <row r="764">
      <c r="B764" s="8"/>
      <c r="C764" s="100"/>
      <c r="P764" s="8"/>
    </row>
    <row r="765">
      <c r="B765" s="8"/>
      <c r="C765" s="100"/>
      <c r="P765" s="8"/>
    </row>
    <row r="766">
      <c r="B766" s="8"/>
      <c r="C766" s="100"/>
      <c r="P766" s="8"/>
    </row>
    <row r="767">
      <c r="B767" s="8"/>
      <c r="C767" s="100"/>
      <c r="P767" s="8"/>
    </row>
    <row r="768">
      <c r="B768" s="8"/>
      <c r="C768" s="100"/>
      <c r="P768" s="8"/>
    </row>
    <row r="769">
      <c r="B769" s="8"/>
      <c r="C769" s="100"/>
      <c r="P769" s="8"/>
    </row>
    <row r="770">
      <c r="B770" s="8"/>
      <c r="C770" s="100"/>
      <c r="P770" s="8"/>
    </row>
    <row r="771">
      <c r="B771" s="8"/>
      <c r="C771" s="100"/>
      <c r="P771" s="8"/>
    </row>
    <row r="772">
      <c r="B772" s="8"/>
      <c r="C772" s="100"/>
      <c r="P772" s="8"/>
    </row>
    <row r="773">
      <c r="B773" s="8"/>
      <c r="C773" s="100"/>
      <c r="P773" s="8"/>
    </row>
    <row r="774">
      <c r="B774" s="8"/>
      <c r="C774" s="100"/>
      <c r="P774" s="8"/>
    </row>
    <row r="775">
      <c r="B775" s="8"/>
      <c r="C775" s="100"/>
      <c r="P775" s="8"/>
    </row>
    <row r="776">
      <c r="B776" s="8"/>
      <c r="C776" s="100"/>
      <c r="P776" s="8"/>
    </row>
    <row r="777">
      <c r="B777" s="8"/>
      <c r="C777" s="100"/>
      <c r="P777" s="8"/>
    </row>
    <row r="778">
      <c r="B778" s="8"/>
      <c r="C778" s="100"/>
      <c r="P778" s="8"/>
    </row>
    <row r="779">
      <c r="B779" s="8"/>
      <c r="C779" s="100"/>
      <c r="P779" s="8"/>
    </row>
    <row r="780">
      <c r="B780" s="8"/>
      <c r="C780" s="100"/>
      <c r="P780" s="8"/>
    </row>
    <row r="781">
      <c r="B781" s="8"/>
      <c r="C781" s="100"/>
      <c r="P781" s="8"/>
    </row>
    <row r="782">
      <c r="B782" s="8"/>
      <c r="C782" s="100"/>
      <c r="P782" s="8"/>
    </row>
    <row r="783">
      <c r="B783" s="8"/>
      <c r="C783" s="100"/>
      <c r="P783" s="8"/>
    </row>
    <row r="784">
      <c r="B784" s="8"/>
      <c r="C784" s="100"/>
      <c r="P784" s="8"/>
    </row>
    <row r="785">
      <c r="B785" s="8"/>
      <c r="C785" s="100"/>
      <c r="P785" s="8"/>
    </row>
    <row r="786">
      <c r="B786" s="8"/>
      <c r="C786" s="100"/>
      <c r="P786" s="8"/>
    </row>
    <row r="787">
      <c r="B787" s="8"/>
      <c r="C787" s="100"/>
      <c r="P787" s="8"/>
    </row>
    <row r="788">
      <c r="B788" s="8"/>
      <c r="C788" s="100"/>
      <c r="P788" s="8"/>
    </row>
    <row r="789">
      <c r="B789" s="8"/>
      <c r="C789" s="100"/>
      <c r="P789" s="8"/>
    </row>
    <row r="790">
      <c r="B790" s="8"/>
      <c r="C790" s="100"/>
      <c r="P790" s="8"/>
    </row>
    <row r="791">
      <c r="B791" s="8"/>
      <c r="C791" s="100"/>
      <c r="P791" s="8"/>
    </row>
    <row r="792">
      <c r="B792" s="8"/>
      <c r="C792" s="100"/>
      <c r="P792" s="8"/>
    </row>
    <row r="793">
      <c r="B793" s="8"/>
      <c r="C793" s="100"/>
      <c r="P793" s="8"/>
    </row>
    <row r="794">
      <c r="B794" s="8"/>
      <c r="C794" s="100"/>
      <c r="P794" s="8"/>
    </row>
    <row r="795">
      <c r="B795" s="8"/>
      <c r="C795" s="100"/>
      <c r="P795" s="8"/>
    </row>
    <row r="796">
      <c r="B796" s="8"/>
      <c r="C796" s="100"/>
      <c r="P796" s="8"/>
    </row>
    <row r="797">
      <c r="B797" s="8"/>
      <c r="C797" s="100"/>
      <c r="P797" s="8"/>
    </row>
    <row r="798">
      <c r="B798" s="8"/>
      <c r="C798" s="100"/>
      <c r="P798" s="8"/>
    </row>
    <row r="799">
      <c r="B799" s="8"/>
      <c r="C799" s="100"/>
      <c r="P799" s="8"/>
    </row>
    <row r="800">
      <c r="B800" s="8"/>
      <c r="C800" s="100"/>
      <c r="P800" s="8"/>
    </row>
    <row r="801">
      <c r="B801" s="8"/>
      <c r="C801" s="100"/>
      <c r="P801" s="8"/>
    </row>
    <row r="802">
      <c r="B802" s="8"/>
      <c r="C802" s="100"/>
      <c r="P802" s="8"/>
    </row>
    <row r="803">
      <c r="B803" s="8"/>
      <c r="C803" s="100"/>
      <c r="P803" s="8"/>
    </row>
    <row r="804">
      <c r="B804" s="8"/>
      <c r="C804" s="100"/>
      <c r="P804" s="8"/>
    </row>
    <row r="805">
      <c r="B805" s="8"/>
      <c r="C805" s="100"/>
      <c r="P805" s="8"/>
    </row>
    <row r="806">
      <c r="B806" s="8"/>
      <c r="C806" s="100"/>
      <c r="P806" s="8"/>
    </row>
    <row r="807">
      <c r="B807" s="8"/>
      <c r="C807" s="100"/>
      <c r="P807" s="8"/>
    </row>
    <row r="808">
      <c r="B808" s="8"/>
      <c r="C808" s="100"/>
      <c r="P808" s="8"/>
    </row>
    <row r="809">
      <c r="B809" s="8"/>
      <c r="C809" s="100"/>
      <c r="P809" s="8"/>
    </row>
    <row r="810">
      <c r="B810" s="8"/>
      <c r="C810" s="100"/>
      <c r="P810" s="8"/>
    </row>
    <row r="811">
      <c r="B811" s="8"/>
      <c r="C811" s="100"/>
      <c r="P811" s="8"/>
    </row>
    <row r="812">
      <c r="B812" s="8"/>
      <c r="C812" s="100"/>
      <c r="P812" s="8"/>
    </row>
    <row r="813">
      <c r="B813" s="8"/>
      <c r="C813" s="100"/>
      <c r="P813" s="8"/>
    </row>
    <row r="814">
      <c r="B814" s="8"/>
      <c r="C814" s="100"/>
      <c r="P814" s="8"/>
    </row>
    <row r="815">
      <c r="B815" s="8"/>
      <c r="C815" s="100"/>
      <c r="P815" s="8"/>
    </row>
    <row r="816">
      <c r="B816" s="8"/>
      <c r="C816" s="100"/>
      <c r="P816" s="8"/>
    </row>
    <row r="817">
      <c r="B817" s="8"/>
      <c r="C817" s="100"/>
      <c r="P817" s="8"/>
    </row>
    <row r="818">
      <c r="B818" s="8"/>
      <c r="C818" s="100"/>
      <c r="P818" s="8"/>
    </row>
    <row r="819">
      <c r="B819" s="8"/>
      <c r="C819" s="100"/>
      <c r="P819" s="8"/>
    </row>
    <row r="820">
      <c r="B820" s="8"/>
      <c r="C820" s="100"/>
      <c r="P820" s="8"/>
    </row>
    <row r="821">
      <c r="B821" s="8"/>
      <c r="C821" s="100"/>
      <c r="P821" s="8"/>
    </row>
    <row r="822">
      <c r="B822" s="8"/>
      <c r="C822" s="100"/>
      <c r="P822" s="8"/>
    </row>
    <row r="823">
      <c r="B823" s="8"/>
      <c r="C823" s="100"/>
      <c r="P823" s="8"/>
    </row>
    <row r="824">
      <c r="B824" s="8"/>
      <c r="C824" s="100"/>
      <c r="P824" s="8"/>
    </row>
    <row r="825">
      <c r="B825" s="8"/>
      <c r="C825" s="100"/>
      <c r="P825" s="8"/>
    </row>
    <row r="826">
      <c r="B826" s="8"/>
      <c r="C826" s="100"/>
      <c r="P826" s="8"/>
    </row>
    <row r="827">
      <c r="B827" s="8"/>
      <c r="C827" s="100"/>
      <c r="P827" s="8"/>
    </row>
    <row r="828">
      <c r="B828" s="8"/>
      <c r="C828" s="100"/>
      <c r="P828" s="8"/>
    </row>
    <row r="829">
      <c r="B829" s="8"/>
      <c r="C829" s="100"/>
      <c r="P829" s="8"/>
    </row>
    <row r="830">
      <c r="B830" s="8"/>
      <c r="C830" s="100"/>
      <c r="P830" s="8"/>
    </row>
    <row r="831">
      <c r="B831" s="8"/>
      <c r="C831" s="100"/>
      <c r="P831" s="8"/>
    </row>
    <row r="832">
      <c r="B832" s="8"/>
      <c r="C832" s="100"/>
      <c r="P832" s="8"/>
    </row>
    <row r="833">
      <c r="B833" s="8"/>
      <c r="C833" s="100"/>
      <c r="P833" s="8"/>
    </row>
    <row r="834">
      <c r="B834" s="8"/>
      <c r="C834" s="100"/>
      <c r="P834" s="8"/>
    </row>
    <row r="835">
      <c r="B835" s="8"/>
      <c r="C835" s="100"/>
      <c r="P835" s="8"/>
    </row>
    <row r="836">
      <c r="B836" s="8"/>
      <c r="C836" s="100"/>
      <c r="P836" s="8"/>
    </row>
    <row r="837">
      <c r="B837" s="8"/>
      <c r="C837" s="100"/>
      <c r="P837" s="8"/>
    </row>
    <row r="838">
      <c r="B838" s="8"/>
      <c r="C838" s="100"/>
      <c r="P838" s="8"/>
    </row>
    <row r="839">
      <c r="B839" s="8"/>
      <c r="C839" s="100"/>
      <c r="P839" s="8"/>
    </row>
    <row r="840">
      <c r="B840" s="8"/>
      <c r="C840" s="100"/>
      <c r="P840" s="8"/>
    </row>
    <row r="841">
      <c r="B841" s="8"/>
      <c r="C841" s="100"/>
      <c r="P841" s="8"/>
    </row>
    <row r="842">
      <c r="B842" s="8"/>
      <c r="C842" s="100"/>
      <c r="P842" s="8"/>
    </row>
    <row r="843">
      <c r="B843" s="8"/>
      <c r="C843" s="100"/>
      <c r="P843" s="8"/>
    </row>
    <row r="844">
      <c r="B844" s="8"/>
      <c r="C844" s="100"/>
      <c r="P844" s="8"/>
    </row>
    <row r="845">
      <c r="B845" s="8"/>
      <c r="C845" s="100"/>
      <c r="P845" s="8"/>
    </row>
    <row r="846">
      <c r="B846" s="8"/>
      <c r="C846" s="100"/>
      <c r="P846" s="8"/>
    </row>
    <row r="847">
      <c r="B847" s="8"/>
      <c r="C847" s="100"/>
      <c r="P847" s="8"/>
    </row>
    <row r="848">
      <c r="B848" s="8"/>
      <c r="C848" s="100"/>
      <c r="P848" s="8"/>
    </row>
    <row r="849">
      <c r="B849" s="8"/>
      <c r="C849" s="100"/>
      <c r="P849" s="8"/>
    </row>
    <row r="850">
      <c r="B850" s="8"/>
      <c r="C850" s="100"/>
      <c r="P850" s="8"/>
    </row>
    <row r="851">
      <c r="B851" s="8"/>
      <c r="C851" s="100"/>
      <c r="P851" s="8"/>
    </row>
    <row r="852">
      <c r="B852" s="8"/>
      <c r="C852" s="100"/>
      <c r="P852" s="8"/>
    </row>
    <row r="853">
      <c r="B853" s="8"/>
      <c r="C853" s="100"/>
      <c r="P853" s="8"/>
    </row>
    <row r="854">
      <c r="B854" s="8"/>
      <c r="C854" s="100"/>
      <c r="P854" s="8"/>
    </row>
    <row r="855">
      <c r="B855" s="8"/>
      <c r="C855" s="100"/>
      <c r="P855" s="8"/>
    </row>
    <row r="856">
      <c r="B856" s="8"/>
      <c r="C856" s="100"/>
      <c r="P856" s="8"/>
    </row>
    <row r="857">
      <c r="B857" s="8"/>
      <c r="C857" s="100"/>
      <c r="P857" s="8"/>
    </row>
    <row r="858">
      <c r="B858" s="8"/>
      <c r="C858" s="100"/>
      <c r="P858" s="8"/>
    </row>
    <row r="859">
      <c r="B859" s="8"/>
      <c r="C859" s="100"/>
      <c r="P859" s="8"/>
    </row>
    <row r="860">
      <c r="B860" s="8"/>
      <c r="C860" s="100"/>
      <c r="P860" s="8"/>
    </row>
    <row r="861">
      <c r="B861" s="8"/>
      <c r="C861" s="100"/>
      <c r="P861" s="8"/>
    </row>
    <row r="862">
      <c r="B862" s="8"/>
      <c r="C862" s="100"/>
      <c r="P862" s="8"/>
    </row>
    <row r="863">
      <c r="B863" s="8"/>
      <c r="C863" s="100"/>
      <c r="P863" s="8"/>
    </row>
    <row r="864">
      <c r="B864" s="8"/>
      <c r="C864" s="100"/>
      <c r="P864" s="8"/>
    </row>
    <row r="865">
      <c r="B865" s="8"/>
      <c r="C865" s="100"/>
      <c r="P865" s="8"/>
    </row>
    <row r="866">
      <c r="B866" s="8"/>
      <c r="C866" s="100"/>
      <c r="P866" s="8"/>
    </row>
    <row r="867">
      <c r="B867" s="8"/>
      <c r="C867" s="100"/>
      <c r="P867" s="8"/>
    </row>
    <row r="868">
      <c r="B868" s="8"/>
      <c r="C868" s="100"/>
      <c r="P868" s="8"/>
    </row>
    <row r="869">
      <c r="B869" s="8"/>
      <c r="C869" s="100"/>
      <c r="P869" s="8"/>
    </row>
    <row r="870">
      <c r="B870" s="8"/>
      <c r="C870" s="100"/>
      <c r="P870" s="8"/>
    </row>
    <row r="871">
      <c r="B871" s="8"/>
      <c r="C871" s="100"/>
      <c r="P871" s="8"/>
    </row>
    <row r="872">
      <c r="B872" s="8"/>
      <c r="C872" s="100"/>
      <c r="P872" s="8"/>
    </row>
    <row r="873">
      <c r="B873" s="8"/>
      <c r="C873" s="100"/>
      <c r="P873" s="8"/>
    </row>
    <row r="874">
      <c r="B874" s="8"/>
      <c r="C874" s="100"/>
      <c r="P874" s="8"/>
    </row>
    <row r="875">
      <c r="B875" s="8"/>
      <c r="C875" s="100"/>
      <c r="P875" s="8"/>
    </row>
    <row r="876">
      <c r="B876" s="8"/>
      <c r="C876" s="100"/>
      <c r="P876" s="8"/>
    </row>
    <row r="877">
      <c r="B877" s="8"/>
      <c r="C877" s="100"/>
      <c r="P877" s="8"/>
    </row>
    <row r="878">
      <c r="B878" s="8"/>
      <c r="C878" s="100"/>
      <c r="P878" s="8"/>
    </row>
    <row r="879">
      <c r="B879" s="8"/>
      <c r="C879" s="100"/>
      <c r="P879" s="8"/>
    </row>
    <row r="880">
      <c r="B880" s="8"/>
      <c r="C880" s="100"/>
      <c r="P880" s="8"/>
    </row>
    <row r="881">
      <c r="B881" s="8"/>
      <c r="C881" s="100"/>
      <c r="P881" s="8"/>
    </row>
    <row r="882">
      <c r="B882" s="8"/>
      <c r="C882" s="100"/>
      <c r="P882" s="8"/>
    </row>
    <row r="883">
      <c r="B883" s="8"/>
      <c r="C883" s="100"/>
      <c r="P883" s="8"/>
    </row>
    <row r="884">
      <c r="B884" s="8"/>
      <c r="C884" s="100"/>
      <c r="P884" s="8"/>
    </row>
    <row r="885">
      <c r="B885" s="8"/>
      <c r="C885" s="100"/>
      <c r="P885" s="8"/>
    </row>
    <row r="886">
      <c r="B886" s="8"/>
      <c r="C886" s="100"/>
      <c r="P886" s="8"/>
    </row>
    <row r="887">
      <c r="B887" s="8"/>
      <c r="C887" s="100"/>
      <c r="P887" s="8"/>
    </row>
    <row r="888">
      <c r="B888" s="8"/>
      <c r="C888" s="100"/>
      <c r="P888" s="8"/>
    </row>
    <row r="889">
      <c r="B889" s="8"/>
      <c r="C889" s="100"/>
      <c r="P889" s="8"/>
    </row>
    <row r="890">
      <c r="B890" s="8"/>
      <c r="C890" s="100"/>
      <c r="P890" s="8"/>
    </row>
    <row r="891">
      <c r="B891" s="8"/>
      <c r="C891" s="100"/>
      <c r="P891" s="8"/>
    </row>
    <row r="892">
      <c r="B892" s="8"/>
      <c r="C892" s="100"/>
      <c r="P892" s="8"/>
    </row>
    <row r="893">
      <c r="B893" s="8"/>
      <c r="C893" s="100"/>
      <c r="P893" s="8"/>
    </row>
    <row r="894">
      <c r="B894" s="8"/>
      <c r="C894" s="100"/>
      <c r="P894" s="8"/>
    </row>
    <row r="895">
      <c r="B895" s="8"/>
      <c r="C895" s="100"/>
      <c r="P895" s="8"/>
    </row>
    <row r="896">
      <c r="B896" s="8"/>
      <c r="C896" s="100"/>
      <c r="P896" s="8"/>
    </row>
    <row r="897">
      <c r="B897" s="8"/>
      <c r="C897" s="100"/>
      <c r="P897" s="8"/>
    </row>
    <row r="898">
      <c r="B898" s="8"/>
      <c r="C898" s="100"/>
      <c r="P898" s="8"/>
    </row>
    <row r="899">
      <c r="B899" s="8"/>
      <c r="C899" s="100"/>
      <c r="P899" s="8"/>
    </row>
    <row r="900">
      <c r="B900" s="8"/>
      <c r="C900" s="100"/>
      <c r="P900" s="8"/>
    </row>
    <row r="901">
      <c r="B901" s="8"/>
      <c r="C901" s="100"/>
      <c r="P901" s="8"/>
    </row>
    <row r="902">
      <c r="B902" s="8"/>
      <c r="C902" s="100"/>
      <c r="P902" s="8"/>
    </row>
    <row r="903">
      <c r="B903" s="8"/>
      <c r="C903" s="100"/>
      <c r="P903" s="8"/>
    </row>
    <row r="904">
      <c r="B904" s="8"/>
      <c r="C904" s="100"/>
      <c r="P904" s="8"/>
    </row>
    <row r="905">
      <c r="B905" s="8"/>
      <c r="C905" s="100"/>
      <c r="P905" s="8"/>
    </row>
    <row r="906">
      <c r="B906" s="8"/>
      <c r="C906" s="100"/>
      <c r="P906" s="8"/>
    </row>
    <row r="907">
      <c r="B907" s="8"/>
      <c r="C907" s="100"/>
      <c r="P907" s="8"/>
    </row>
    <row r="908">
      <c r="B908" s="8"/>
      <c r="C908" s="100"/>
      <c r="P908" s="8"/>
    </row>
    <row r="909">
      <c r="B909" s="8"/>
      <c r="C909" s="100"/>
      <c r="P909" s="8"/>
    </row>
    <row r="910">
      <c r="B910" s="8"/>
      <c r="C910" s="100"/>
      <c r="P910" s="8"/>
    </row>
    <row r="911">
      <c r="B911" s="8"/>
      <c r="C911" s="100"/>
      <c r="P911" s="8"/>
    </row>
    <row r="912">
      <c r="B912" s="8"/>
      <c r="C912" s="100"/>
      <c r="P912" s="8"/>
    </row>
    <row r="913">
      <c r="B913" s="8"/>
      <c r="C913" s="100"/>
      <c r="P913" s="8"/>
    </row>
    <row r="914">
      <c r="B914" s="8"/>
      <c r="C914" s="100"/>
      <c r="P914" s="8"/>
    </row>
    <row r="915">
      <c r="B915" s="8"/>
      <c r="C915" s="100"/>
      <c r="P915" s="8"/>
    </row>
    <row r="916">
      <c r="B916" s="8"/>
      <c r="C916" s="100"/>
      <c r="P916" s="8"/>
    </row>
    <row r="917">
      <c r="B917" s="8"/>
      <c r="C917" s="100"/>
      <c r="P917" s="8"/>
    </row>
    <row r="918">
      <c r="B918" s="8"/>
      <c r="C918" s="100"/>
      <c r="P918" s="8"/>
    </row>
    <row r="919">
      <c r="B919" s="8"/>
      <c r="C919" s="100"/>
      <c r="P919" s="8"/>
    </row>
    <row r="920">
      <c r="B920" s="8"/>
      <c r="C920" s="100"/>
      <c r="P920" s="8"/>
    </row>
    <row r="921">
      <c r="B921" s="8"/>
      <c r="C921" s="100"/>
      <c r="P921" s="8"/>
    </row>
    <row r="922">
      <c r="B922" s="8"/>
      <c r="C922" s="100"/>
      <c r="P922" s="8"/>
    </row>
    <row r="923">
      <c r="B923" s="8"/>
      <c r="C923" s="100"/>
      <c r="P923" s="8"/>
    </row>
    <row r="924">
      <c r="B924" s="8"/>
      <c r="C924" s="100"/>
      <c r="P924" s="8"/>
    </row>
    <row r="925">
      <c r="B925" s="8"/>
      <c r="C925" s="100"/>
      <c r="P925" s="8"/>
    </row>
    <row r="926">
      <c r="B926" s="8"/>
      <c r="C926" s="100"/>
      <c r="P926" s="8"/>
    </row>
    <row r="927">
      <c r="B927" s="8"/>
      <c r="C927" s="100"/>
      <c r="P927" s="8"/>
    </row>
    <row r="928">
      <c r="B928" s="8"/>
      <c r="C928" s="100"/>
      <c r="P928" s="8"/>
    </row>
    <row r="929">
      <c r="B929" s="8"/>
      <c r="C929" s="100"/>
      <c r="P929" s="8"/>
    </row>
    <row r="930">
      <c r="B930" s="8"/>
      <c r="C930" s="100"/>
      <c r="P930" s="8"/>
    </row>
    <row r="931">
      <c r="B931" s="8"/>
      <c r="C931" s="100"/>
      <c r="P931" s="8"/>
    </row>
    <row r="932">
      <c r="B932" s="8"/>
      <c r="C932" s="100"/>
      <c r="P932" s="8"/>
    </row>
    <row r="933">
      <c r="B933" s="8"/>
      <c r="C933" s="100"/>
      <c r="P933" s="8"/>
    </row>
    <row r="934">
      <c r="B934" s="8"/>
      <c r="C934" s="100"/>
      <c r="P934" s="8"/>
    </row>
    <row r="935">
      <c r="B935" s="8"/>
      <c r="C935" s="100"/>
      <c r="P935" s="8"/>
    </row>
    <row r="936">
      <c r="B936" s="8"/>
      <c r="C936" s="100"/>
      <c r="P936" s="8"/>
    </row>
    <row r="937">
      <c r="B937" s="8"/>
      <c r="C937" s="100"/>
      <c r="P937" s="8"/>
    </row>
    <row r="938">
      <c r="B938" s="8"/>
      <c r="C938" s="100"/>
      <c r="P938" s="8"/>
    </row>
    <row r="939">
      <c r="B939" s="8"/>
      <c r="C939" s="100"/>
      <c r="P939" s="8"/>
    </row>
    <row r="940">
      <c r="B940" s="8"/>
      <c r="C940" s="100"/>
      <c r="P940" s="8"/>
    </row>
    <row r="941">
      <c r="B941" s="8"/>
      <c r="C941" s="100"/>
      <c r="P941" s="8"/>
    </row>
    <row r="942">
      <c r="B942" s="8"/>
      <c r="C942" s="100"/>
      <c r="P942" s="8"/>
    </row>
    <row r="943">
      <c r="B943" s="8"/>
      <c r="C943" s="100"/>
      <c r="P943" s="8"/>
    </row>
    <row r="944">
      <c r="B944" s="8"/>
      <c r="C944" s="100"/>
      <c r="P944" s="8"/>
    </row>
    <row r="945">
      <c r="B945" s="8"/>
      <c r="C945" s="100"/>
      <c r="P945" s="8"/>
    </row>
    <row r="946">
      <c r="B946" s="8"/>
      <c r="C946" s="100"/>
      <c r="P946" s="8"/>
    </row>
    <row r="947">
      <c r="B947" s="8"/>
      <c r="C947" s="100"/>
      <c r="P947" s="8"/>
    </row>
    <row r="948">
      <c r="B948" s="8"/>
      <c r="C948" s="100"/>
      <c r="P948" s="8"/>
    </row>
    <row r="949">
      <c r="B949" s="8"/>
      <c r="C949" s="100"/>
      <c r="P949" s="8"/>
    </row>
    <row r="950">
      <c r="B950" s="8"/>
      <c r="C950" s="100"/>
      <c r="P950" s="8"/>
    </row>
    <row r="951">
      <c r="B951" s="8"/>
      <c r="C951" s="100"/>
      <c r="P951" s="8"/>
    </row>
    <row r="952">
      <c r="B952" s="8"/>
      <c r="C952" s="100"/>
      <c r="P952" s="8"/>
    </row>
    <row r="953">
      <c r="B953" s="8"/>
      <c r="C953" s="100"/>
      <c r="P953" s="8"/>
    </row>
    <row r="954">
      <c r="B954" s="8"/>
      <c r="C954" s="100"/>
      <c r="P954" s="8"/>
    </row>
    <row r="955">
      <c r="B955" s="8"/>
      <c r="C955" s="100"/>
      <c r="P955" s="8"/>
    </row>
    <row r="956">
      <c r="B956" s="8"/>
      <c r="C956" s="100"/>
      <c r="P956" s="8"/>
    </row>
    <row r="957">
      <c r="B957" s="8"/>
      <c r="C957" s="100"/>
      <c r="P957" s="8"/>
    </row>
    <row r="958">
      <c r="B958" s="8"/>
      <c r="C958" s="100"/>
      <c r="P958" s="8"/>
    </row>
    <row r="959">
      <c r="B959" s="8"/>
      <c r="C959" s="100"/>
      <c r="P959" s="8"/>
    </row>
    <row r="960">
      <c r="B960" s="8"/>
      <c r="C960" s="100"/>
      <c r="P960" s="8"/>
    </row>
    <row r="961">
      <c r="B961" s="8"/>
      <c r="C961" s="100"/>
      <c r="P961" s="8"/>
    </row>
    <row r="962">
      <c r="B962" s="8"/>
      <c r="C962" s="100"/>
      <c r="P962" s="8"/>
    </row>
    <row r="963">
      <c r="B963" s="8"/>
      <c r="C963" s="100"/>
      <c r="P963" s="8"/>
    </row>
    <row r="964">
      <c r="B964" s="8"/>
      <c r="C964" s="100"/>
      <c r="P964" s="8"/>
    </row>
    <row r="965">
      <c r="B965" s="8"/>
      <c r="C965" s="100"/>
      <c r="P965" s="8"/>
    </row>
    <row r="966">
      <c r="B966" s="8"/>
      <c r="C966" s="100"/>
      <c r="P966" s="8"/>
    </row>
    <row r="967">
      <c r="B967" s="8"/>
      <c r="C967" s="100"/>
      <c r="P967" s="8"/>
    </row>
    <row r="968">
      <c r="B968" s="8"/>
      <c r="C968" s="100"/>
      <c r="P968" s="8"/>
    </row>
    <row r="969">
      <c r="B969" s="8"/>
      <c r="C969" s="100"/>
      <c r="P969" s="8"/>
    </row>
    <row r="970">
      <c r="B970" s="8"/>
      <c r="C970" s="100"/>
      <c r="P970" s="8"/>
    </row>
    <row r="971">
      <c r="B971" s="8"/>
      <c r="C971" s="100"/>
      <c r="P971" s="8"/>
    </row>
    <row r="972">
      <c r="B972" s="8"/>
      <c r="C972" s="100"/>
      <c r="P972" s="8"/>
    </row>
    <row r="973">
      <c r="B973" s="8"/>
      <c r="C973" s="100"/>
      <c r="P973" s="8"/>
    </row>
    <row r="974">
      <c r="B974" s="8"/>
      <c r="C974" s="100"/>
      <c r="P974" s="8"/>
    </row>
    <row r="975">
      <c r="B975" s="8"/>
      <c r="C975" s="100"/>
      <c r="P975" s="8"/>
    </row>
    <row r="976">
      <c r="B976" s="8"/>
      <c r="C976" s="100"/>
      <c r="P976" s="8"/>
    </row>
    <row r="977">
      <c r="B977" s="8"/>
      <c r="C977" s="100"/>
      <c r="P977" s="8"/>
    </row>
    <row r="978">
      <c r="B978" s="8"/>
      <c r="C978" s="100"/>
      <c r="P978" s="8"/>
    </row>
    <row r="979">
      <c r="B979" s="8"/>
      <c r="C979" s="100"/>
      <c r="P979" s="8"/>
    </row>
    <row r="980">
      <c r="B980" s="8"/>
      <c r="C980" s="100"/>
      <c r="P980" s="8"/>
    </row>
    <row r="981">
      <c r="B981" s="8"/>
      <c r="C981" s="100"/>
      <c r="P981" s="8"/>
    </row>
    <row r="982">
      <c r="B982" s="8"/>
      <c r="C982" s="100"/>
      <c r="P982" s="8"/>
    </row>
    <row r="983">
      <c r="B983" s="8"/>
      <c r="C983" s="100"/>
      <c r="P983" s="8"/>
    </row>
    <row r="984">
      <c r="B984" s="8"/>
      <c r="C984" s="100"/>
      <c r="P984" s="8"/>
    </row>
    <row r="985">
      <c r="B985" s="8"/>
      <c r="C985" s="100"/>
      <c r="P985" s="8"/>
    </row>
    <row r="986">
      <c r="B986" s="8"/>
      <c r="C986" s="100"/>
      <c r="P986" s="8"/>
    </row>
    <row r="987">
      <c r="B987" s="8"/>
      <c r="C987" s="100"/>
      <c r="P987" s="8"/>
    </row>
    <row r="988">
      <c r="B988" s="8"/>
      <c r="C988" s="100"/>
      <c r="P988" s="8"/>
    </row>
    <row r="989">
      <c r="B989" s="8"/>
      <c r="C989" s="100"/>
      <c r="P989" s="8"/>
    </row>
    <row r="990">
      <c r="B990" s="8"/>
      <c r="C990" s="100"/>
      <c r="P990" s="8"/>
    </row>
    <row r="991">
      <c r="B991" s="8"/>
      <c r="C991" s="100"/>
      <c r="P991" s="8"/>
    </row>
    <row r="992">
      <c r="B992" s="8"/>
      <c r="C992" s="100"/>
      <c r="P992" s="8"/>
    </row>
    <row r="993">
      <c r="B993" s="8"/>
      <c r="C993" s="100"/>
      <c r="P993" s="8"/>
    </row>
    <row r="994">
      <c r="B994" s="8"/>
      <c r="C994" s="100"/>
      <c r="P994" s="8"/>
    </row>
    <row r="995">
      <c r="B995" s="8"/>
      <c r="C995" s="100"/>
      <c r="P995" s="8"/>
    </row>
    <row r="996">
      <c r="B996" s="8"/>
      <c r="C996" s="100"/>
      <c r="P996" s="8"/>
    </row>
    <row r="997">
      <c r="B997" s="8"/>
      <c r="C997" s="100"/>
      <c r="P997" s="8"/>
    </row>
    <row r="998">
      <c r="B998" s="8"/>
      <c r="C998" s="100"/>
      <c r="P998" s="8"/>
    </row>
    <row r="999">
      <c r="B999" s="8"/>
      <c r="C999" s="100"/>
      <c r="P999" s="8"/>
    </row>
    <row r="1000">
      <c r="B1000" s="8"/>
      <c r="C1000" s="100"/>
      <c r="P1000" s="8"/>
    </row>
    <row r="1001">
      <c r="B1001" s="8"/>
      <c r="C1001" s="100"/>
      <c r="P1001" s="8"/>
    </row>
    <row r="1002">
      <c r="B1002" s="8"/>
      <c r="C1002" s="100"/>
      <c r="P1002" s="8"/>
    </row>
    <row r="1003">
      <c r="B1003" s="8"/>
      <c r="C1003" s="100"/>
      <c r="P1003" s="8"/>
    </row>
    <row r="1004">
      <c r="B1004" s="8"/>
      <c r="C1004" s="100"/>
      <c r="P1004" s="8"/>
    </row>
    <row r="1005">
      <c r="B1005" s="8"/>
      <c r="C1005" s="100"/>
      <c r="P1005" s="8"/>
    </row>
    <row r="1006">
      <c r="B1006" s="8"/>
      <c r="C1006" s="100"/>
      <c r="P1006" s="8"/>
    </row>
    <row r="1007">
      <c r="B1007" s="8"/>
      <c r="C1007" s="100"/>
      <c r="P1007" s="8"/>
    </row>
    <row r="1008">
      <c r="B1008" s="8"/>
      <c r="C1008" s="100"/>
      <c r="P1008" s="8"/>
    </row>
    <row r="1009">
      <c r="B1009" s="8"/>
      <c r="C1009" s="100"/>
      <c r="P1009" s="8"/>
    </row>
    <row r="1010">
      <c r="B1010" s="8"/>
      <c r="C1010" s="100"/>
      <c r="P1010" s="8"/>
    </row>
    <row r="1011">
      <c r="B1011" s="8"/>
      <c r="C1011" s="100"/>
      <c r="P1011" s="8"/>
    </row>
    <row r="1012">
      <c r="B1012" s="8"/>
      <c r="C1012" s="100"/>
      <c r="P1012" s="8"/>
    </row>
    <row r="1013">
      <c r="B1013" s="8"/>
      <c r="C1013" s="100"/>
      <c r="P1013" s="8"/>
    </row>
    <row r="1014">
      <c r="B1014" s="8"/>
      <c r="C1014" s="100"/>
      <c r="P1014" s="8"/>
    </row>
    <row r="1015">
      <c r="B1015" s="8"/>
      <c r="C1015" s="100"/>
      <c r="P1015" s="8"/>
    </row>
    <row r="1016">
      <c r="B1016" s="8"/>
      <c r="C1016" s="100"/>
      <c r="P1016" s="8"/>
    </row>
    <row r="1017">
      <c r="B1017" s="8"/>
      <c r="C1017" s="100"/>
      <c r="P1017" s="8"/>
    </row>
    <row r="1018">
      <c r="B1018" s="8"/>
      <c r="C1018" s="100"/>
      <c r="P1018" s="8"/>
    </row>
    <row r="1019">
      <c r="B1019" s="8"/>
      <c r="C1019" s="100"/>
      <c r="P1019" s="8"/>
    </row>
    <row r="1020">
      <c r="B1020" s="8"/>
      <c r="C1020" s="100"/>
      <c r="P1020" s="8"/>
    </row>
    <row r="1021">
      <c r="B1021" s="8"/>
      <c r="C1021" s="100"/>
      <c r="P1021" s="8"/>
    </row>
    <row r="1022">
      <c r="B1022" s="8"/>
      <c r="C1022" s="100"/>
      <c r="P1022" s="8"/>
    </row>
    <row r="1023">
      <c r="B1023" s="8"/>
      <c r="C1023" s="100"/>
      <c r="P1023" s="8"/>
    </row>
    <row r="1024">
      <c r="B1024" s="8"/>
      <c r="C1024" s="100"/>
      <c r="P1024" s="8"/>
    </row>
    <row r="1025">
      <c r="B1025" s="8"/>
      <c r="C1025" s="100"/>
      <c r="P1025" s="8"/>
    </row>
    <row r="1026">
      <c r="B1026" s="8"/>
      <c r="C1026" s="100"/>
      <c r="P1026" s="8"/>
    </row>
    <row r="1027">
      <c r="B1027" s="8"/>
      <c r="C1027" s="100"/>
      <c r="P1027" s="8"/>
    </row>
    <row r="1028">
      <c r="B1028" s="8"/>
      <c r="C1028" s="100"/>
      <c r="P1028" s="8"/>
    </row>
    <row r="1029">
      <c r="B1029" s="8"/>
      <c r="C1029" s="100"/>
      <c r="P1029" s="8"/>
    </row>
    <row r="1030">
      <c r="B1030" s="8"/>
      <c r="C1030" s="100"/>
      <c r="P1030" s="8"/>
    </row>
    <row r="1031">
      <c r="B1031" s="8"/>
      <c r="C1031" s="100"/>
      <c r="P1031" s="8"/>
    </row>
    <row r="1032">
      <c r="B1032" s="8"/>
      <c r="C1032" s="100"/>
      <c r="P1032" s="8"/>
    </row>
    <row r="1033">
      <c r="B1033" s="8"/>
      <c r="C1033" s="100"/>
      <c r="P1033" s="8"/>
    </row>
    <row r="1034">
      <c r="B1034" s="8"/>
      <c r="C1034" s="100"/>
      <c r="P1034" s="8"/>
    </row>
    <row r="1035">
      <c r="B1035" s="8"/>
      <c r="C1035" s="100"/>
      <c r="P1035" s="8"/>
    </row>
    <row r="1036">
      <c r="B1036" s="8"/>
      <c r="C1036" s="100"/>
      <c r="P1036" s="8"/>
    </row>
    <row r="1037">
      <c r="B1037" s="8"/>
      <c r="C1037" s="100"/>
      <c r="P1037" s="8"/>
    </row>
  </sheetData>
  <dataValidations>
    <dataValidation type="list" allowBlank="1" sqref="D2:D25 A83:A89 U94:U143 L94:L151">
      <formula1>Cuentas!$A$2:$A$28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490</v>
      </c>
      <c r="B1" s="8"/>
      <c r="C1" s="2" t="s">
        <v>239</v>
      </c>
      <c r="E1" s="2" t="s">
        <v>491</v>
      </c>
      <c r="F1" s="7" t="s">
        <v>238</v>
      </c>
      <c r="G1" s="2" t="s">
        <v>239</v>
      </c>
      <c r="H1" s="2" t="s">
        <v>254</v>
      </c>
      <c r="Q1" s="7"/>
    </row>
    <row r="2">
      <c r="A2" s="7" t="s">
        <v>492</v>
      </c>
      <c r="B2" s="7">
        <v>5005.0</v>
      </c>
      <c r="C2" s="2" t="b">
        <v>1</v>
      </c>
      <c r="F2" s="7"/>
      <c r="G2" s="2" t="b">
        <v>1</v>
      </c>
      <c r="H2" s="101"/>
      <c r="L2" s="7"/>
      <c r="Q2" s="7"/>
    </row>
    <row r="3">
      <c r="A3" s="7" t="s">
        <v>493</v>
      </c>
      <c r="B3" s="7">
        <v>1190.0</v>
      </c>
      <c r="C3" s="2" t="b">
        <v>1</v>
      </c>
      <c r="F3" s="7"/>
      <c r="G3" s="2" t="b">
        <v>0</v>
      </c>
      <c r="H3" s="101"/>
      <c r="L3" s="7"/>
      <c r="P3" s="7"/>
      <c r="Q3" s="7"/>
    </row>
    <row r="4">
      <c r="A4" s="7" t="s">
        <v>388</v>
      </c>
      <c r="B4" s="7">
        <f>IFERROR(__xludf.DUMMYFUNCTION("GOOGLEFINANCE(""CURRENCY:USDMXN"")*6"),103.30260000000001)</f>
        <v>103.3026</v>
      </c>
      <c r="C4" s="2" t="b">
        <v>1</v>
      </c>
      <c r="F4" s="7"/>
      <c r="G4" s="2" t="b">
        <v>0</v>
      </c>
      <c r="H4" s="102"/>
      <c r="K4" s="64"/>
      <c r="L4" s="7"/>
      <c r="P4" s="97"/>
      <c r="Q4" s="98"/>
    </row>
    <row r="5">
      <c r="A5" s="2" t="s">
        <v>494</v>
      </c>
      <c r="B5" s="7">
        <v>940.0</v>
      </c>
      <c r="C5" s="2" t="b">
        <v>1</v>
      </c>
      <c r="F5" s="7"/>
      <c r="G5" s="2" t="b">
        <v>0</v>
      </c>
      <c r="H5" s="102"/>
      <c r="K5" s="64"/>
      <c r="L5" s="7"/>
      <c r="P5" s="97"/>
      <c r="Q5" s="98"/>
    </row>
    <row r="6">
      <c r="A6" s="2" t="s">
        <v>495</v>
      </c>
      <c r="B6" s="8">
        <f>IFERROR(__xludf.DUMMYFUNCTION("GOOGLEFINANCE(""CURRENCY:USDMXN"")*20"),344.34200000000004)</f>
        <v>344.342</v>
      </c>
      <c r="C6" s="2" t="b">
        <v>1</v>
      </c>
      <c r="F6" s="7"/>
      <c r="G6" s="2" t="b">
        <v>0</v>
      </c>
      <c r="H6" s="102"/>
      <c r="L6" s="7"/>
      <c r="Q6" s="7"/>
    </row>
    <row r="7">
      <c r="A7" s="2" t="s">
        <v>496</v>
      </c>
      <c r="B7" s="7">
        <v>199.0</v>
      </c>
      <c r="C7" s="2" t="b">
        <v>1</v>
      </c>
      <c r="F7" s="7"/>
      <c r="G7" s="2" t="b">
        <v>0</v>
      </c>
      <c r="H7" s="102"/>
      <c r="J7" s="7"/>
      <c r="L7" s="7"/>
      <c r="Q7" s="7"/>
    </row>
    <row r="8">
      <c r="A8" s="2" t="s">
        <v>75</v>
      </c>
      <c r="B8" s="7">
        <v>1171.0</v>
      </c>
      <c r="C8" s="2" t="b">
        <v>1</v>
      </c>
      <c r="F8" s="7"/>
      <c r="G8" s="2" t="b">
        <v>0</v>
      </c>
      <c r="H8" s="102"/>
      <c r="J8" s="7"/>
      <c r="L8" s="7"/>
      <c r="P8" s="97"/>
      <c r="Q8" s="98"/>
    </row>
    <row r="9">
      <c r="A9" s="2" t="s">
        <v>77</v>
      </c>
      <c r="B9" s="7">
        <v>349.0</v>
      </c>
      <c r="C9" s="2" t="b">
        <v>1</v>
      </c>
      <c r="F9" s="8"/>
      <c r="J9" s="7"/>
      <c r="L9" s="7"/>
      <c r="Q9" s="7"/>
    </row>
    <row r="10">
      <c r="B10" s="8"/>
      <c r="C10" s="2" t="b">
        <v>0</v>
      </c>
      <c r="F10" s="8"/>
      <c r="J10" s="7"/>
      <c r="L10" s="7"/>
      <c r="P10" s="97"/>
      <c r="Q10" s="98"/>
    </row>
    <row r="11">
      <c r="B11" s="8"/>
      <c r="C11" s="2" t="b">
        <v>0</v>
      </c>
      <c r="F11" s="8"/>
      <c r="J11" s="7"/>
      <c r="L11" s="7"/>
      <c r="Q11" s="7"/>
    </row>
    <row r="12">
      <c r="B12" s="8"/>
      <c r="C12" s="2" t="b">
        <v>0</v>
      </c>
      <c r="F12" s="8"/>
      <c r="J12" s="7"/>
      <c r="L12" s="7"/>
      <c r="P12" s="97"/>
      <c r="Q12" s="98"/>
    </row>
    <row r="13">
      <c r="B13" s="8"/>
      <c r="C13" s="2" t="b">
        <v>0</v>
      </c>
      <c r="F13" s="8"/>
      <c r="J13" s="7"/>
      <c r="L13" s="7"/>
      <c r="Q13" s="7"/>
    </row>
    <row r="14">
      <c r="B14" s="8"/>
      <c r="C14" s="2" t="b">
        <v>0</v>
      </c>
      <c r="F14" s="8"/>
      <c r="J14" s="7"/>
      <c r="L14" s="7"/>
      <c r="P14" s="97"/>
      <c r="Q14" s="98"/>
    </row>
    <row r="15">
      <c r="B15" s="8"/>
      <c r="C15" s="2" t="b">
        <v>0</v>
      </c>
      <c r="F15" s="8"/>
      <c r="L15" s="7"/>
      <c r="P15" s="7"/>
      <c r="Q15" s="7"/>
    </row>
    <row r="16">
      <c r="B16" s="8"/>
      <c r="C16" s="2" t="b">
        <v>0</v>
      </c>
      <c r="F16" s="8"/>
      <c r="L16" s="7"/>
      <c r="P16" s="97"/>
      <c r="Q16" s="98"/>
    </row>
    <row r="17">
      <c r="B17" s="8"/>
      <c r="C17" s="2" t="b">
        <v>0</v>
      </c>
      <c r="F17" s="8"/>
      <c r="L17" s="7"/>
      <c r="Q17" s="7"/>
    </row>
    <row r="18">
      <c r="B18" s="8"/>
      <c r="C18" s="2" t="b">
        <v>0</v>
      </c>
      <c r="F18" s="8"/>
      <c r="L18" s="7"/>
      <c r="O18" s="8"/>
      <c r="Q18" s="8"/>
    </row>
    <row r="19">
      <c r="B19" s="8"/>
      <c r="C19" s="2" t="b">
        <v>0</v>
      </c>
      <c r="F19" s="8"/>
      <c r="L19" s="7"/>
      <c r="P19" s="97"/>
      <c r="Q19" s="98"/>
    </row>
    <row r="20">
      <c r="B20" s="8"/>
      <c r="C20" s="2" t="b">
        <v>0</v>
      </c>
      <c r="F20" s="8"/>
      <c r="L20" s="7"/>
      <c r="Q20" s="7"/>
    </row>
    <row r="21">
      <c r="B21" s="8"/>
      <c r="C21" s="2" t="b">
        <v>0</v>
      </c>
      <c r="F21" s="8"/>
      <c r="L21" s="7"/>
      <c r="Q21" s="7"/>
    </row>
    <row r="22">
      <c r="B22" s="8"/>
      <c r="C22" s="2" t="b">
        <v>0</v>
      </c>
      <c r="F22" s="8"/>
      <c r="L22" s="7"/>
      <c r="Q22" s="8"/>
    </row>
    <row r="23">
      <c r="B23" s="8"/>
      <c r="F23" s="8"/>
      <c r="L23" s="7"/>
      <c r="P23" s="97"/>
      <c r="Q23" s="98"/>
    </row>
    <row r="24">
      <c r="B24" s="8"/>
      <c r="F24" s="8"/>
      <c r="L24" s="7"/>
      <c r="P24" s="97"/>
      <c r="Q24" s="98"/>
    </row>
    <row r="25">
      <c r="B25" s="8"/>
      <c r="F25" s="8"/>
      <c r="L25" s="7"/>
      <c r="P25" s="77"/>
      <c r="Q25" s="98"/>
    </row>
    <row r="26">
      <c r="B26" s="8"/>
      <c r="F26" s="8"/>
      <c r="L26" s="7"/>
      <c r="Q26" s="7"/>
    </row>
    <row r="27">
      <c r="B27" s="8"/>
      <c r="F27" s="8"/>
      <c r="L27" s="7"/>
      <c r="Q27" s="7"/>
    </row>
    <row r="28">
      <c r="B28" s="8"/>
      <c r="F28" s="8"/>
      <c r="L28" s="7"/>
      <c r="Q28" s="7"/>
    </row>
    <row r="29">
      <c r="B29" s="8"/>
      <c r="F29" s="8"/>
      <c r="L29" s="7"/>
      <c r="Q29" s="8"/>
    </row>
    <row r="30">
      <c r="B30" s="8"/>
      <c r="F30" s="8"/>
      <c r="L30" s="7"/>
      <c r="Q30" s="7"/>
    </row>
    <row r="31">
      <c r="B31" s="8"/>
      <c r="F31" s="8"/>
      <c r="L31" s="7"/>
      <c r="Q31" s="7"/>
    </row>
    <row r="32">
      <c r="B32" s="8"/>
      <c r="F32" s="8"/>
      <c r="Q32" s="7"/>
    </row>
    <row r="33">
      <c r="B33" s="8"/>
      <c r="F33" s="8"/>
      <c r="P33" s="7"/>
      <c r="Q33" s="7"/>
    </row>
    <row r="34">
      <c r="B34" s="8"/>
      <c r="F34" s="8"/>
      <c r="Q34" s="7"/>
    </row>
    <row r="35">
      <c r="B35" s="8"/>
      <c r="F35" s="8"/>
      <c r="Q35" s="7"/>
    </row>
    <row r="36">
      <c r="B36" s="8"/>
      <c r="F36" s="8"/>
      <c r="Q36" s="7"/>
    </row>
    <row r="37">
      <c r="B37" s="8"/>
      <c r="F37" s="8"/>
      <c r="Q37" s="7"/>
    </row>
    <row r="38">
      <c r="B38" s="8"/>
      <c r="F38" s="8"/>
      <c r="Q38" s="7"/>
    </row>
    <row r="39">
      <c r="B39" s="8"/>
      <c r="F39" s="8"/>
      <c r="Q39" s="7"/>
    </row>
    <row r="40">
      <c r="B40" s="8"/>
      <c r="F40" s="8"/>
      <c r="Q40" s="7"/>
    </row>
    <row r="41">
      <c r="B41" s="8"/>
      <c r="F41" s="8"/>
      <c r="Q41" s="7"/>
    </row>
    <row r="42">
      <c r="B42" s="8"/>
      <c r="F42" s="8"/>
      <c r="Q42" s="7"/>
    </row>
    <row r="43">
      <c r="B43" s="8"/>
      <c r="F43" s="8"/>
      <c r="Q43" s="7"/>
    </row>
    <row r="44">
      <c r="B44" s="8"/>
      <c r="F44" s="8"/>
      <c r="Q44" s="7"/>
    </row>
    <row r="45">
      <c r="B45" s="8"/>
      <c r="F45" s="8"/>
      <c r="Q45" s="7"/>
    </row>
    <row r="46">
      <c r="B46" s="8"/>
      <c r="F46" s="8"/>
      <c r="Q46" s="7"/>
    </row>
    <row r="47">
      <c r="B47" s="8"/>
      <c r="F47" s="8"/>
      <c r="Q47" s="7"/>
    </row>
    <row r="48">
      <c r="B48" s="8"/>
      <c r="F48" s="8"/>
      <c r="Q48" s="7"/>
    </row>
    <row r="49">
      <c r="B49" s="8"/>
      <c r="F49" s="8"/>
      <c r="L49" s="8"/>
    </row>
    <row r="50">
      <c r="B50" s="8"/>
      <c r="F50" s="8"/>
      <c r="L50" s="8"/>
    </row>
    <row r="51">
      <c r="F51" s="8"/>
      <c r="J51" s="8"/>
    </row>
    <row r="52">
      <c r="F52" s="8"/>
      <c r="L52" s="8"/>
    </row>
    <row r="53">
      <c r="F53" s="8"/>
      <c r="L53" s="8"/>
    </row>
    <row r="54">
      <c r="F54" s="8"/>
      <c r="L54" s="8"/>
    </row>
    <row r="55">
      <c r="F55" s="8"/>
      <c r="L55" s="8"/>
    </row>
    <row r="56">
      <c r="F56" s="8"/>
      <c r="L56" s="8"/>
    </row>
    <row r="57">
      <c r="B57" s="8"/>
      <c r="F57" s="8"/>
      <c r="L57" s="8"/>
    </row>
    <row r="58">
      <c r="B58" s="8"/>
      <c r="F58" s="8"/>
      <c r="L58" s="8"/>
    </row>
    <row r="59">
      <c r="B59" s="8"/>
      <c r="F59" s="8"/>
      <c r="L59" s="8"/>
    </row>
    <row r="60">
      <c r="B60" s="8"/>
      <c r="F60" s="8"/>
      <c r="L60" s="8"/>
    </row>
    <row r="61">
      <c r="B61" s="8"/>
      <c r="F61" s="8"/>
      <c r="L61" s="8"/>
    </row>
    <row r="62">
      <c r="B62" s="8"/>
      <c r="F62" s="8"/>
      <c r="L62" s="8"/>
    </row>
    <row r="63">
      <c r="B63" s="8"/>
      <c r="F63" s="8"/>
      <c r="L63" s="8"/>
    </row>
    <row r="64">
      <c r="B64" s="8"/>
      <c r="C64" s="2" t="s">
        <v>266</v>
      </c>
      <c r="D64" s="2"/>
      <c r="F64" s="8"/>
      <c r="G64" s="2" t="s">
        <v>266</v>
      </c>
      <c r="L64" s="8"/>
    </row>
    <row r="65">
      <c r="B65" s="8">
        <f>SUM(B2:B32)</f>
        <v>9301.6446</v>
      </c>
      <c r="C65" s="8">
        <f>SUMIF(C2:C34, false, B2:B34)</f>
        <v>0</v>
      </c>
      <c r="D65" s="8"/>
      <c r="F65" s="8">
        <f>SUM(F2:F63)</f>
        <v>0</v>
      </c>
      <c r="G65" s="8">
        <f>SUMIF(G2:G63, false, F2:F63)</f>
        <v>0</v>
      </c>
      <c r="L65" s="8"/>
    </row>
    <row r="66">
      <c r="B66" s="8"/>
      <c r="F66" s="8"/>
      <c r="L66" s="8"/>
    </row>
    <row r="67">
      <c r="B67" s="8"/>
      <c r="F67" s="8"/>
      <c r="L67" s="8"/>
    </row>
    <row r="68">
      <c r="B68" s="8"/>
      <c r="F68" s="8">
        <f>F65+B65</f>
        <v>9301.6446</v>
      </c>
      <c r="L68" s="8"/>
    </row>
    <row r="69">
      <c r="B69" s="8"/>
      <c r="F69" s="8"/>
      <c r="L69" s="8"/>
    </row>
    <row r="70">
      <c r="B70" s="8"/>
      <c r="F70" s="8"/>
      <c r="L70" s="8"/>
    </row>
    <row r="71">
      <c r="B71" s="8"/>
      <c r="F71" s="8"/>
      <c r="L71" s="8"/>
    </row>
    <row r="72">
      <c r="B72" s="8"/>
      <c r="F72" s="8"/>
      <c r="L72" s="8"/>
    </row>
    <row r="73">
      <c r="B73" s="8"/>
      <c r="F73" s="8"/>
      <c r="L73" s="8"/>
    </row>
    <row r="74">
      <c r="B74" s="8"/>
      <c r="F74" s="8"/>
      <c r="L74" s="8"/>
    </row>
    <row r="75">
      <c r="B75" s="8"/>
      <c r="F75" s="8"/>
      <c r="L75" s="8"/>
    </row>
    <row r="76">
      <c r="A76" s="2" t="s">
        <v>267</v>
      </c>
      <c r="B76" s="8"/>
      <c r="F76" s="8"/>
      <c r="L76" s="8"/>
    </row>
    <row r="77">
      <c r="A77" s="2" t="s">
        <v>497</v>
      </c>
      <c r="B77" s="8"/>
      <c r="E77" s="2" t="s">
        <v>498</v>
      </c>
      <c r="F77" s="8"/>
      <c r="L77" s="8"/>
    </row>
    <row r="78">
      <c r="A78" s="2" t="s">
        <v>499</v>
      </c>
      <c r="B78" s="7">
        <v>17280.0</v>
      </c>
      <c r="C78" s="2" t="b">
        <v>1</v>
      </c>
      <c r="E78" s="2" t="s">
        <v>500</v>
      </c>
      <c r="F78" s="7">
        <f>1040.93-F94-F95</f>
        <v>249</v>
      </c>
      <c r="G78" s="2" t="b">
        <v>1</v>
      </c>
      <c r="H78" s="101">
        <v>45982.0</v>
      </c>
      <c r="L78" s="8"/>
    </row>
    <row r="79">
      <c r="A79" s="2" t="s">
        <v>501</v>
      </c>
      <c r="B79" s="7">
        <v>8598.0</v>
      </c>
      <c r="C79" s="2" t="b">
        <v>1</v>
      </c>
      <c r="E79" s="2" t="s">
        <v>502</v>
      </c>
      <c r="F79" s="7">
        <v>277.0</v>
      </c>
      <c r="G79" s="2" t="b">
        <v>1</v>
      </c>
      <c r="H79" s="101">
        <v>45994.0</v>
      </c>
      <c r="L79" s="8"/>
    </row>
    <row r="80">
      <c r="A80" s="64" t="s">
        <v>503</v>
      </c>
      <c r="B80" s="7">
        <v>3300.0</v>
      </c>
      <c r="C80" s="2" t="b">
        <v>1</v>
      </c>
      <c r="E80" s="2" t="s">
        <v>504</v>
      </c>
      <c r="F80" s="7">
        <v>279.0</v>
      </c>
      <c r="G80" s="2" t="b">
        <v>1</v>
      </c>
      <c r="H80" s="101">
        <v>45994.0</v>
      </c>
      <c r="L80" s="8"/>
    </row>
    <row r="81">
      <c r="A81" s="64" t="s">
        <v>505</v>
      </c>
      <c r="B81" s="7">
        <v>3300.0</v>
      </c>
      <c r="C81" s="2" t="b">
        <v>1</v>
      </c>
      <c r="E81" s="77" t="s">
        <v>506</v>
      </c>
      <c r="F81" s="98">
        <f>119*2</f>
        <v>238</v>
      </c>
      <c r="G81" s="2" t="b">
        <v>1</v>
      </c>
      <c r="H81" s="101">
        <v>45992.0</v>
      </c>
      <c r="L81" s="8"/>
    </row>
    <row r="82">
      <c r="A82" s="2" t="s">
        <v>507</v>
      </c>
      <c r="B82" s="7">
        <v>2899.58</v>
      </c>
      <c r="C82" s="2" t="b">
        <v>1</v>
      </c>
      <c r="E82" s="77" t="s">
        <v>508</v>
      </c>
      <c r="F82" s="98">
        <v>115.3</v>
      </c>
      <c r="G82" s="2" t="b">
        <v>1</v>
      </c>
      <c r="H82" s="101">
        <v>45992.0</v>
      </c>
      <c r="L82" s="8"/>
    </row>
    <row r="83">
      <c r="A83" s="2" t="s">
        <v>509</v>
      </c>
      <c r="B83" s="7">
        <v>2886.0</v>
      </c>
      <c r="C83" s="2" t="b">
        <v>1</v>
      </c>
      <c r="E83" s="77" t="s">
        <v>510</v>
      </c>
      <c r="F83" s="98">
        <v>249.85</v>
      </c>
      <c r="G83" s="2" t="b">
        <v>1</v>
      </c>
      <c r="H83" s="101">
        <v>45992.0</v>
      </c>
      <c r="L83" s="8"/>
    </row>
    <row r="84">
      <c r="A84" s="2" t="s">
        <v>148</v>
      </c>
      <c r="B84" s="7">
        <v>2555.0</v>
      </c>
      <c r="C84" s="2" t="b">
        <v>1</v>
      </c>
      <c r="E84" s="77" t="s">
        <v>511</v>
      </c>
      <c r="F84" s="98">
        <v>1580.0</v>
      </c>
      <c r="G84" s="2" t="b">
        <v>1</v>
      </c>
      <c r="H84" s="101">
        <v>45993.0</v>
      </c>
      <c r="L84" s="8"/>
    </row>
    <row r="85">
      <c r="A85" s="2" t="s">
        <v>415</v>
      </c>
      <c r="B85" s="7">
        <v>2127.0</v>
      </c>
      <c r="C85" s="2" t="b">
        <v>1</v>
      </c>
      <c r="E85" s="77" t="s">
        <v>512</v>
      </c>
      <c r="F85" s="98">
        <v>680.0</v>
      </c>
      <c r="G85" s="2" t="b">
        <v>1</v>
      </c>
      <c r="H85" s="101">
        <v>45991.0</v>
      </c>
      <c r="L85" s="8"/>
    </row>
    <row r="86">
      <c r="A86" s="2" t="s">
        <v>513</v>
      </c>
      <c r="B86" s="7">
        <v>2067.0</v>
      </c>
      <c r="C86" s="2" t="b">
        <v>1</v>
      </c>
      <c r="E86" s="77" t="s">
        <v>514</v>
      </c>
      <c r="F86" s="98">
        <v>1558.5</v>
      </c>
      <c r="G86" s="2" t="b">
        <v>1</v>
      </c>
      <c r="H86" s="101">
        <v>45992.0</v>
      </c>
      <c r="L86" s="8"/>
    </row>
    <row r="87">
      <c r="A87" s="2" t="s">
        <v>515</v>
      </c>
      <c r="B87" s="7">
        <v>1942.0</v>
      </c>
      <c r="C87" s="2" t="b">
        <v>1</v>
      </c>
      <c r="E87" s="77" t="s">
        <v>285</v>
      </c>
      <c r="F87" s="98">
        <v>90.0</v>
      </c>
      <c r="G87" s="2" t="b">
        <v>1</v>
      </c>
      <c r="H87" s="101">
        <v>45992.0</v>
      </c>
      <c r="L87" s="8"/>
    </row>
    <row r="88">
      <c r="A88" s="2" t="s">
        <v>516</v>
      </c>
      <c r="B88" s="7">
        <v>1599.0</v>
      </c>
      <c r="C88" s="2" t="b">
        <v>1</v>
      </c>
      <c r="E88" s="77" t="s">
        <v>517</v>
      </c>
      <c r="F88" s="98">
        <v>333.0</v>
      </c>
      <c r="G88" s="2" t="b">
        <v>1</v>
      </c>
      <c r="H88" s="101">
        <v>45991.0</v>
      </c>
      <c r="L88" s="8"/>
    </row>
    <row r="89">
      <c r="A89" s="2" t="s">
        <v>73</v>
      </c>
      <c r="B89" s="7">
        <v>1500.0</v>
      </c>
      <c r="C89" s="2" t="b">
        <v>1</v>
      </c>
      <c r="E89" s="77" t="s">
        <v>518</v>
      </c>
      <c r="F89" s="98">
        <v>45.0</v>
      </c>
      <c r="G89" s="2" t="b">
        <v>1</v>
      </c>
      <c r="H89" s="101">
        <v>45991.0</v>
      </c>
      <c r="L89" s="8"/>
    </row>
    <row r="90">
      <c r="A90" s="2" t="s">
        <v>519</v>
      </c>
      <c r="B90" s="7">
        <v>1198.0</v>
      </c>
      <c r="C90" s="2" t="b">
        <v>1</v>
      </c>
      <c r="E90" s="77" t="s">
        <v>378</v>
      </c>
      <c r="F90" s="98">
        <v>144.0</v>
      </c>
      <c r="G90" s="2" t="b">
        <v>1</v>
      </c>
      <c r="H90" s="101">
        <v>45990.0</v>
      </c>
      <c r="L90" s="8"/>
    </row>
    <row r="91">
      <c r="A91" s="2" t="s">
        <v>520</v>
      </c>
      <c r="B91" s="7">
        <v>999.09</v>
      </c>
      <c r="C91" s="2" t="b">
        <v>1</v>
      </c>
      <c r="E91" s="77" t="s">
        <v>521</v>
      </c>
      <c r="F91" s="98">
        <v>2019.3</v>
      </c>
      <c r="G91" s="2" t="b">
        <v>1</v>
      </c>
      <c r="H91" s="101">
        <v>45988.0</v>
      </c>
      <c r="L91" s="8"/>
    </row>
    <row r="92">
      <c r="A92" s="2" t="s">
        <v>415</v>
      </c>
      <c r="B92" s="7">
        <v>999.0</v>
      </c>
      <c r="C92" s="2" t="b">
        <v>1</v>
      </c>
      <c r="E92" s="77" t="s">
        <v>522</v>
      </c>
      <c r="F92" s="98">
        <v>539.0</v>
      </c>
      <c r="G92" s="2" t="b">
        <v>1</v>
      </c>
      <c r="H92" s="101">
        <v>45985.0</v>
      </c>
      <c r="L92" s="8"/>
    </row>
    <row r="93">
      <c r="A93" s="2" t="s">
        <v>523</v>
      </c>
      <c r="B93" s="7">
        <v>936.86</v>
      </c>
      <c r="C93" s="2" t="b">
        <v>1</v>
      </c>
      <c r="E93" s="77" t="s">
        <v>524</v>
      </c>
      <c r="F93" s="98">
        <v>353.5</v>
      </c>
      <c r="G93" s="2" t="b">
        <v>1</v>
      </c>
      <c r="H93" s="101">
        <v>45983.0</v>
      </c>
      <c r="L93" s="8"/>
    </row>
    <row r="94">
      <c r="A94" s="2" t="s">
        <v>525</v>
      </c>
      <c r="B94" s="7">
        <v>922.56</v>
      </c>
      <c r="C94" s="2" t="b">
        <v>1</v>
      </c>
      <c r="E94" s="77" t="s">
        <v>526</v>
      </c>
      <c r="F94" s="98">
        <v>612.93</v>
      </c>
      <c r="G94" s="2" t="b">
        <v>1</v>
      </c>
      <c r="H94" s="101">
        <v>45982.0</v>
      </c>
      <c r="L94" s="8"/>
    </row>
    <row r="95">
      <c r="A95" s="2" t="s">
        <v>527</v>
      </c>
      <c r="B95" s="7">
        <v>795.21</v>
      </c>
      <c r="C95" s="2" t="b">
        <v>1</v>
      </c>
      <c r="E95" s="77" t="s">
        <v>528</v>
      </c>
      <c r="F95" s="98">
        <v>179.0</v>
      </c>
      <c r="G95" s="2" t="b">
        <v>1</v>
      </c>
      <c r="H95" s="101">
        <v>45982.0</v>
      </c>
      <c r="L95" s="8"/>
    </row>
    <row r="96">
      <c r="A96" s="2" t="s">
        <v>529</v>
      </c>
      <c r="B96" s="7">
        <v>735.0</v>
      </c>
      <c r="C96" s="2" t="b">
        <v>1</v>
      </c>
      <c r="E96" s="77" t="s">
        <v>530</v>
      </c>
      <c r="F96" s="98">
        <v>675.75</v>
      </c>
      <c r="G96" s="2" t="b">
        <v>1</v>
      </c>
      <c r="H96" s="101">
        <v>45981.0</v>
      </c>
      <c r="L96" s="8"/>
    </row>
    <row r="97">
      <c r="A97" s="2" t="s">
        <v>531</v>
      </c>
      <c r="B97" s="7">
        <v>696.0</v>
      </c>
      <c r="C97" s="2" t="b">
        <v>1</v>
      </c>
      <c r="E97" s="14" t="s">
        <v>532</v>
      </c>
      <c r="F97" s="103">
        <v>609.37</v>
      </c>
      <c r="G97" s="14" t="b">
        <v>1</v>
      </c>
      <c r="H97" s="104">
        <v>45978.0</v>
      </c>
      <c r="L97" s="8"/>
    </row>
    <row r="98">
      <c r="A98" s="2" t="s">
        <v>382</v>
      </c>
      <c r="B98" s="7">
        <v>496.08</v>
      </c>
      <c r="C98" s="2" t="b">
        <v>1</v>
      </c>
      <c r="E98" s="2" t="s">
        <v>533</v>
      </c>
      <c r="F98" s="7">
        <v>374.0</v>
      </c>
      <c r="G98" s="2" t="b">
        <v>1</v>
      </c>
      <c r="H98" s="101">
        <v>45996.0</v>
      </c>
      <c r="L98" s="8"/>
    </row>
    <row r="99">
      <c r="A99" s="2" t="s">
        <v>382</v>
      </c>
      <c r="B99" s="7">
        <v>476.04</v>
      </c>
      <c r="C99" s="2" t="b">
        <v>1</v>
      </c>
      <c r="E99" s="2" t="s">
        <v>428</v>
      </c>
      <c r="F99" s="7">
        <v>676.0</v>
      </c>
      <c r="G99" s="2" t="b">
        <v>1</v>
      </c>
      <c r="H99" s="101">
        <v>45997.0</v>
      </c>
      <c r="L99" s="8"/>
    </row>
    <row r="100">
      <c r="A100" s="2" t="s">
        <v>317</v>
      </c>
      <c r="B100" s="7">
        <v>425.0</v>
      </c>
      <c r="C100" s="2" t="b">
        <v>1</v>
      </c>
      <c r="E100" s="2" t="s">
        <v>428</v>
      </c>
      <c r="F100" s="7">
        <v>447.0</v>
      </c>
      <c r="G100" s="2" t="b">
        <v>1</v>
      </c>
      <c r="H100" s="101">
        <v>45997.0</v>
      </c>
      <c r="L100" s="8"/>
    </row>
    <row r="101">
      <c r="A101" s="2" t="s">
        <v>534</v>
      </c>
      <c r="B101" s="7">
        <v>374.91</v>
      </c>
      <c r="C101" s="2" t="b">
        <v>1</v>
      </c>
      <c r="E101" s="2" t="s">
        <v>535</v>
      </c>
      <c r="F101" s="7">
        <v>376.5</v>
      </c>
      <c r="G101" s="2" t="b">
        <v>1</v>
      </c>
      <c r="H101" s="101">
        <v>45998.0</v>
      </c>
      <c r="L101" s="8"/>
    </row>
    <row r="102">
      <c r="A102" s="2" t="s">
        <v>536</v>
      </c>
      <c r="B102" s="7">
        <v>131.36</v>
      </c>
      <c r="C102" s="2" t="b">
        <v>1</v>
      </c>
      <c r="E102" s="2" t="s">
        <v>535</v>
      </c>
      <c r="F102" s="7">
        <v>1889.3</v>
      </c>
      <c r="G102" s="2" t="b">
        <v>1</v>
      </c>
      <c r="H102" s="101">
        <v>45998.0</v>
      </c>
      <c r="L102" s="8"/>
    </row>
    <row r="103">
      <c r="A103" s="2" t="s">
        <v>537</v>
      </c>
      <c r="B103" s="7">
        <v>120.0</v>
      </c>
      <c r="C103" s="2" t="b">
        <v>1</v>
      </c>
      <c r="E103" s="2" t="s">
        <v>290</v>
      </c>
      <c r="F103" s="7">
        <v>390.0</v>
      </c>
      <c r="G103" s="2" t="b">
        <v>1</v>
      </c>
      <c r="H103" s="101">
        <v>45999.0</v>
      </c>
      <c r="L103" s="8"/>
    </row>
    <row r="104">
      <c r="A104" s="2" t="s">
        <v>418</v>
      </c>
      <c r="B104" s="7">
        <v>105.0</v>
      </c>
      <c r="C104" s="2" t="b">
        <v>1</v>
      </c>
      <c r="E104" s="2" t="s">
        <v>538</v>
      </c>
      <c r="F104" s="7">
        <v>318.0</v>
      </c>
      <c r="G104" s="2" t="b">
        <v>1</v>
      </c>
      <c r="H104" s="101">
        <v>46000.0</v>
      </c>
      <c r="L104" s="8"/>
    </row>
    <row r="105">
      <c r="A105" s="2" t="s">
        <v>378</v>
      </c>
      <c r="B105" s="7">
        <v>87.0</v>
      </c>
      <c r="C105" s="2" t="b">
        <v>1</v>
      </c>
      <c r="E105" s="2" t="s">
        <v>290</v>
      </c>
      <c r="F105" s="7">
        <v>314.0</v>
      </c>
      <c r="G105" s="2" t="b">
        <v>1</v>
      </c>
      <c r="H105" s="101">
        <v>46000.0</v>
      </c>
      <c r="L105" s="8"/>
    </row>
    <row r="106">
      <c r="A106" s="2" t="s">
        <v>451</v>
      </c>
      <c r="B106" s="7">
        <v>70.0</v>
      </c>
      <c r="C106" s="2" t="b">
        <v>1</v>
      </c>
      <c r="E106" s="2" t="s">
        <v>539</v>
      </c>
      <c r="F106" s="7">
        <v>2074.3</v>
      </c>
      <c r="G106" s="2" t="b">
        <v>1</v>
      </c>
      <c r="H106" s="101">
        <v>46000.0</v>
      </c>
      <c r="L106" s="8"/>
    </row>
    <row r="107">
      <c r="A107" s="2" t="s">
        <v>540</v>
      </c>
      <c r="B107" s="7">
        <v>50.0</v>
      </c>
      <c r="C107" s="2" t="b">
        <v>1</v>
      </c>
      <c r="E107" s="2" t="s">
        <v>541</v>
      </c>
      <c r="F107" s="7">
        <v>50.0</v>
      </c>
      <c r="G107" s="2" t="b">
        <v>1</v>
      </c>
      <c r="H107" s="101">
        <v>46000.0</v>
      </c>
      <c r="L107" s="8"/>
    </row>
    <row r="108">
      <c r="A108" s="2" t="s">
        <v>120</v>
      </c>
      <c r="B108" s="7">
        <v>8022.1</v>
      </c>
      <c r="C108" s="2" t="b">
        <v>1</v>
      </c>
      <c r="E108" s="2" t="s">
        <v>542</v>
      </c>
      <c r="F108" s="7">
        <v>1448.0</v>
      </c>
      <c r="G108" s="2" t="b">
        <v>1</v>
      </c>
      <c r="H108" s="101">
        <v>46000.0</v>
      </c>
      <c r="L108" s="8"/>
    </row>
    <row r="109">
      <c r="A109" s="2" t="s">
        <v>543</v>
      </c>
      <c r="B109" s="7">
        <v>1863.47</v>
      </c>
      <c r="C109" s="2" t="b">
        <v>1</v>
      </c>
      <c r="E109" s="2" t="s">
        <v>544</v>
      </c>
      <c r="F109" s="7">
        <v>99.0</v>
      </c>
      <c r="G109" s="2" t="b">
        <v>1</v>
      </c>
      <c r="H109" s="101">
        <v>46000.0</v>
      </c>
      <c r="L109" s="8"/>
    </row>
    <row r="110">
      <c r="A110" s="2" t="s">
        <v>545</v>
      </c>
      <c r="B110" s="7">
        <v>428.01</v>
      </c>
      <c r="C110" s="2" t="b">
        <v>1</v>
      </c>
      <c r="E110" s="2" t="s">
        <v>538</v>
      </c>
      <c r="F110" s="7">
        <v>200.0</v>
      </c>
      <c r="G110" s="2" t="b">
        <v>1</v>
      </c>
      <c r="H110" s="101">
        <v>46000.0</v>
      </c>
      <c r="L110" s="8"/>
    </row>
    <row r="111">
      <c r="A111" s="2" t="s">
        <v>478</v>
      </c>
      <c r="B111" s="7">
        <v>17280.0</v>
      </c>
      <c r="C111" s="2" t="b">
        <v>1</v>
      </c>
      <c r="E111" s="2" t="s">
        <v>538</v>
      </c>
      <c r="F111" s="7">
        <v>120.0</v>
      </c>
      <c r="G111" s="2" t="b">
        <v>1</v>
      </c>
      <c r="H111" s="101">
        <v>46001.0</v>
      </c>
      <c r="L111" s="8"/>
    </row>
    <row r="112">
      <c r="A112" s="2" t="s">
        <v>382</v>
      </c>
      <c r="B112" s="7">
        <v>175.0</v>
      </c>
      <c r="C112" s="2" t="b">
        <v>1</v>
      </c>
      <c r="E112" s="2" t="s">
        <v>369</v>
      </c>
      <c r="F112" s="7">
        <v>109.0</v>
      </c>
      <c r="G112" s="2" t="b">
        <v>1</v>
      </c>
      <c r="H112" s="101">
        <v>46001.0</v>
      </c>
      <c r="L112" s="8"/>
    </row>
    <row r="113">
      <c r="A113" s="2" t="s">
        <v>546</v>
      </c>
      <c r="B113" s="7">
        <v>481.1</v>
      </c>
      <c r="C113" s="2" t="b">
        <v>1</v>
      </c>
      <c r="E113" s="2" t="s">
        <v>547</v>
      </c>
      <c r="F113" s="7">
        <v>528.0</v>
      </c>
      <c r="G113" s="2" t="b">
        <v>1</v>
      </c>
      <c r="H113" s="101">
        <v>46008.0</v>
      </c>
      <c r="L113" s="8"/>
    </row>
    <row r="114">
      <c r="A114" s="2" t="s">
        <v>541</v>
      </c>
      <c r="B114" s="7">
        <v>50.0</v>
      </c>
      <c r="C114" s="2" t="b">
        <v>1</v>
      </c>
      <c r="E114" s="2" t="s">
        <v>256</v>
      </c>
      <c r="F114" s="7">
        <v>141.9</v>
      </c>
      <c r="G114" s="2" t="b">
        <v>1</v>
      </c>
      <c r="H114" s="101">
        <v>46008.0</v>
      </c>
      <c r="L114" s="8"/>
    </row>
    <row r="115">
      <c r="A115" s="2" t="s">
        <v>548</v>
      </c>
      <c r="B115" s="7">
        <v>1599.0</v>
      </c>
      <c r="C115" s="2" t="b">
        <v>1</v>
      </c>
      <c r="E115" s="2" t="s">
        <v>287</v>
      </c>
      <c r="F115" s="7">
        <v>27.24</v>
      </c>
      <c r="G115" s="2" t="b">
        <v>1</v>
      </c>
      <c r="H115" s="101">
        <v>46009.0</v>
      </c>
      <c r="L115" s="8"/>
    </row>
    <row r="116">
      <c r="A116" s="2" t="s">
        <v>549</v>
      </c>
      <c r="B116" s="7">
        <v>638.5</v>
      </c>
      <c r="C116" s="2" t="b">
        <v>1</v>
      </c>
      <c r="E116" s="2" t="s">
        <v>550</v>
      </c>
      <c r="F116" s="7">
        <v>327.0</v>
      </c>
      <c r="G116" s="2" t="b">
        <v>1</v>
      </c>
      <c r="H116" s="101">
        <v>46010.0</v>
      </c>
      <c r="L116" s="8"/>
    </row>
    <row r="117">
      <c r="A117" s="2" t="s">
        <v>382</v>
      </c>
      <c r="B117" s="7">
        <v>2209.45</v>
      </c>
      <c r="C117" s="2" t="b">
        <v>1</v>
      </c>
      <c r="E117" s="2" t="s">
        <v>551</v>
      </c>
      <c r="F117" s="7">
        <v>66.0</v>
      </c>
      <c r="G117" s="2" t="b">
        <v>1</v>
      </c>
      <c r="H117" s="101">
        <v>46011.0</v>
      </c>
      <c r="L117" s="8"/>
    </row>
    <row r="118">
      <c r="A118" s="2" t="s">
        <v>552</v>
      </c>
      <c r="B118" s="7">
        <v>422.17</v>
      </c>
      <c r="C118" s="2" t="b">
        <v>1</v>
      </c>
      <c r="E118" s="2" t="s">
        <v>553</v>
      </c>
      <c r="F118" s="7">
        <v>1513.0</v>
      </c>
      <c r="G118" s="2" t="b">
        <v>1</v>
      </c>
      <c r="H118" s="101">
        <v>46012.0</v>
      </c>
      <c r="L118" s="8"/>
    </row>
    <row r="119">
      <c r="A119" s="2" t="s">
        <v>554</v>
      </c>
      <c r="B119" s="7">
        <v>975.7</v>
      </c>
      <c r="C119" s="2" t="b">
        <v>1</v>
      </c>
      <c r="E119" s="2" t="s">
        <v>285</v>
      </c>
      <c r="F119" s="7">
        <v>2819.4</v>
      </c>
      <c r="G119" s="2" t="b">
        <v>1</v>
      </c>
      <c r="H119" s="101">
        <v>46013.0</v>
      </c>
      <c r="L119" s="8"/>
    </row>
    <row r="120">
      <c r="A120" s="2" t="s">
        <v>540</v>
      </c>
      <c r="B120" s="7">
        <v>50.0</v>
      </c>
      <c r="C120" s="2" t="b">
        <v>1</v>
      </c>
      <c r="E120" s="2" t="s">
        <v>555</v>
      </c>
      <c r="F120" s="7">
        <v>5241.2</v>
      </c>
      <c r="G120" s="2" t="b">
        <v>1</v>
      </c>
      <c r="H120" s="101">
        <v>46014.0</v>
      </c>
      <c r="L120" s="8"/>
    </row>
    <row r="121">
      <c r="A121" s="2" t="s">
        <v>556</v>
      </c>
      <c r="B121" s="7">
        <v>10.0</v>
      </c>
      <c r="C121" s="2" t="b">
        <v>1</v>
      </c>
      <c r="E121" s="2" t="s">
        <v>557</v>
      </c>
      <c r="F121" s="7">
        <v>1395.0</v>
      </c>
      <c r="G121" s="2" t="b">
        <v>1</v>
      </c>
      <c r="H121" s="101">
        <v>46015.0</v>
      </c>
      <c r="L121" s="8"/>
    </row>
    <row r="122">
      <c r="A122" s="2" t="s">
        <v>558</v>
      </c>
      <c r="B122" s="7">
        <v>720.0</v>
      </c>
      <c r="C122" s="2" t="b">
        <v>1</v>
      </c>
      <c r="E122" s="2" t="s">
        <v>559</v>
      </c>
      <c r="F122" s="7">
        <v>1999.0</v>
      </c>
      <c r="G122" s="2" t="b">
        <v>1</v>
      </c>
      <c r="H122" s="101">
        <v>46016.0</v>
      </c>
      <c r="L122" s="8"/>
    </row>
    <row r="123">
      <c r="A123" s="2" t="s">
        <v>378</v>
      </c>
      <c r="B123" s="7">
        <v>269.0</v>
      </c>
      <c r="C123" s="2" t="b">
        <v>1</v>
      </c>
      <c r="E123" s="2" t="s">
        <v>382</v>
      </c>
      <c r="F123" s="7">
        <v>313.2</v>
      </c>
      <c r="G123" s="2" t="b">
        <v>1</v>
      </c>
      <c r="H123" s="101">
        <v>46017.0</v>
      </c>
      <c r="L123" s="8"/>
    </row>
    <row r="124">
      <c r="A124" s="2" t="s">
        <v>560</v>
      </c>
      <c r="B124" s="7">
        <v>1011.15</v>
      </c>
      <c r="C124" s="2" t="b">
        <v>1</v>
      </c>
      <c r="E124" s="2" t="s">
        <v>561</v>
      </c>
      <c r="F124" s="7">
        <v>2204.3</v>
      </c>
      <c r="G124" s="2" t="b">
        <v>1</v>
      </c>
      <c r="H124" s="101">
        <v>46018.0</v>
      </c>
      <c r="L124" s="8"/>
    </row>
    <row r="125">
      <c r="A125" s="2" t="s">
        <v>562</v>
      </c>
      <c r="B125" s="7">
        <v>184.0</v>
      </c>
      <c r="C125" s="2" t="b">
        <v>1</v>
      </c>
      <c r="E125" s="2" t="s">
        <v>129</v>
      </c>
      <c r="F125" s="8">
        <f>2668-1869</f>
        <v>799</v>
      </c>
      <c r="G125" s="2" t="b">
        <v>1</v>
      </c>
      <c r="H125" s="101">
        <v>46019.0</v>
      </c>
      <c r="L125" s="8"/>
    </row>
    <row r="126">
      <c r="A126" s="2" t="s">
        <v>563</v>
      </c>
      <c r="B126" s="7">
        <v>99.0</v>
      </c>
      <c r="C126" s="2" t="b">
        <v>1</v>
      </c>
      <c r="E126" s="2" t="s">
        <v>382</v>
      </c>
      <c r="F126" s="7">
        <v>229.0</v>
      </c>
      <c r="G126" s="2" t="b">
        <v>1</v>
      </c>
      <c r="H126" s="101">
        <v>46019.0</v>
      </c>
      <c r="L126" s="8"/>
    </row>
    <row r="127">
      <c r="A127" s="2" t="s">
        <v>564</v>
      </c>
      <c r="B127" s="7">
        <v>129.0</v>
      </c>
      <c r="C127" s="2" t="b">
        <v>1</v>
      </c>
      <c r="E127" s="2" t="s">
        <v>382</v>
      </c>
      <c r="F127" s="7">
        <v>135.0</v>
      </c>
      <c r="G127" s="2" t="b">
        <v>1</v>
      </c>
      <c r="H127" s="101">
        <v>46019.0</v>
      </c>
      <c r="L127" s="8"/>
    </row>
    <row r="128">
      <c r="A128" s="2" t="s">
        <v>565</v>
      </c>
      <c r="B128" s="7">
        <v>571.0</v>
      </c>
      <c r="C128" s="2" t="b">
        <v>1</v>
      </c>
      <c r="F128" s="8"/>
      <c r="L128" s="8"/>
    </row>
    <row r="129">
      <c r="A129" s="2" t="s">
        <v>566</v>
      </c>
      <c r="B129" s="7">
        <v>946.89</v>
      </c>
      <c r="C129" s="2" t="b">
        <v>1</v>
      </c>
      <c r="F129" s="8"/>
      <c r="L129" s="8"/>
    </row>
    <row r="130">
      <c r="A130" s="2" t="s">
        <v>450</v>
      </c>
      <c r="B130" s="7">
        <v>404.0</v>
      </c>
      <c r="C130" s="2" t="b">
        <v>1</v>
      </c>
      <c r="F130" s="8"/>
      <c r="L130" s="8"/>
    </row>
    <row r="131">
      <c r="A131" s="2" t="s">
        <v>567</v>
      </c>
      <c r="B131" s="7">
        <v>1328.8</v>
      </c>
      <c r="C131" s="2" t="b">
        <v>1</v>
      </c>
      <c r="F131" s="8"/>
      <c r="L131" s="8"/>
    </row>
    <row r="132">
      <c r="A132" s="2" t="s">
        <v>422</v>
      </c>
      <c r="B132" s="7">
        <v>375.0</v>
      </c>
      <c r="C132" s="2" t="b">
        <v>1</v>
      </c>
      <c r="F132" s="8"/>
      <c r="L132" s="8"/>
    </row>
    <row r="133">
      <c r="A133" s="2" t="s">
        <v>568</v>
      </c>
      <c r="B133" s="7">
        <v>88.19</v>
      </c>
      <c r="C133" s="2" t="b">
        <v>1</v>
      </c>
      <c r="F133" s="8"/>
      <c r="L133" s="8"/>
    </row>
    <row r="134">
      <c r="A134" s="2" t="s">
        <v>569</v>
      </c>
      <c r="B134" s="7">
        <v>500.27</v>
      </c>
      <c r="C134" s="2" t="b">
        <v>1</v>
      </c>
      <c r="F134" s="8"/>
      <c r="L134" s="8"/>
    </row>
    <row r="135">
      <c r="A135" s="2" t="s">
        <v>570</v>
      </c>
      <c r="B135" s="7">
        <v>146.93</v>
      </c>
      <c r="C135" s="2" t="b">
        <v>1</v>
      </c>
      <c r="F135" s="8"/>
      <c r="L135" s="8"/>
    </row>
    <row r="136">
      <c r="A136" s="2" t="s">
        <v>571</v>
      </c>
      <c r="B136" s="7">
        <v>96.73</v>
      </c>
      <c r="C136" s="2" t="b">
        <v>1</v>
      </c>
      <c r="F136" s="8"/>
      <c r="L136" s="8"/>
    </row>
    <row r="137">
      <c r="A137" s="2" t="s">
        <v>572</v>
      </c>
      <c r="B137" s="7">
        <v>299.99</v>
      </c>
      <c r="C137" s="2" t="b">
        <v>1</v>
      </c>
      <c r="F137" s="8"/>
      <c r="L137" s="8"/>
    </row>
    <row r="138">
      <c r="A138" s="2" t="s">
        <v>382</v>
      </c>
      <c r="B138" s="7">
        <v>1040.93</v>
      </c>
      <c r="C138" s="2" t="b">
        <v>1</v>
      </c>
      <c r="F138" s="8"/>
      <c r="L138" s="8"/>
    </row>
    <row r="139">
      <c r="B139" s="8"/>
      <c r="F139" s="8"/>
      <c r="L139" s="8"/>
    </row>
    <row r="140">
      <c r="B140" s="8"/>
      <c r="F140" s="8"/>
      <c r="L140" s="8"/>
    </row>
    <row r="141">
      <c r="B141" s="8"/>
      <c r="F141" s="8"/>
      <c r="L141" s="8"/>
    </row>
    <row r="142">
      <c r="B142" s="8"/>
      <c r="F142" s="8"/>
      <c r="L142" s="8"/>
    </row>
    <row r="143">
      <c r="B143" s="8"/>
      <c r="F143" s="8"/>
      <c r="L143" s="8"/>
    </row>
    <row r="144">
      <c r="B144" s="8"/>
      <c r="F144" s="8"/>
      <c r="L144" s="8"/>
    </row>
    <row r="145">
      <c r="B145" s="8"/>
      <c r="F145" s="8"/>
      <c r="L145" s="8"/>
    </row>
    <row r="146">
      <c r="B146" s="8"/>
      <c r="F146" s="8"/>
      <c r="L146" s="8"/>
    </row>
    <row r="147">
      <c r="B147" s="8"/>
      <c r="F147" s="8"/>
      <c r="L147" s="8"/>
    </row>
    <row r="148">
      <c r="B148" s="8"/>
      <c r="F148" s="8"/>
      <c r="L148" s="8"/>
    </row>
    <row r="149">
      <c r="B149" s="8"/>
      <c r="F149" s="8"/>
      <c r="L149" s="8"/>
    </row>
    <row r="150">
      <c r="B150" s="8"/>
      <c r="F150" s="8"/>
      <c r="L150" s="8"/>
    </row>
    <row r="151">
      <c r="B151" s="8"/>
      <c r="F151" s="8"/>
      <c r="L151" s="8"/>
    </row>
    <row r="152">
      <c r="B152" s="8"/>
      <c r="F152" s="8"/>
      <c r="L152" s="8"/>
    </row>
    <row r="153">
      <c r="B153" s="8"/>
      <c r="F153" s="8"/>
      <c r="L153" s="8"/>
    </row>
    <row r="154">
      <c r="B154" s="8"/>
      <c r="F154" s="8"/>
      <c r="L154" s="8"/>
    </row>
    <row r="155">
      <c r="B155" s="8"/>
      <c r="F155" s="8"/>
      <c r="L155" s="8"/>
    </row>
    <row r="156">
      <c r="B156" s="8"/>
      <c r="F156" s="8"/>
      <c r="L156" s="8"/>
    </row>
    <row r="157">
      <c r="B157" s="8"/>
      <c r="F157" s="8"/>
      <c r="L157" s="8"/>
    </row>
    <row r="158">
      <c r="B158" s="8"/>
      <c r="F158" s="8"/>
      <c r="L158" s="8"/>
    </row>
    <row r="159">
      <c r="B159" s="8"/>
      <c r="F159" s="8"/>
      <c r="L159" s="8"/>
    </row>
    <row r="160">
      <c r="B160" s="8"/>
      <c r="F160" s="8"/>
      <c r="L160" s="8"/>
    </row>
    <row r="161">
      <c r="B161" s="8"/>
      <c r="F161" s="8"/>
      <c r="L161" s="8"/>
    </row>
    <row r="162">
      <c r="B162" s="8"/>
      <c r="F162" s="8"/>
      <c r="L162" s="8"/>
    </row>
    <row r="163">
      <c r="B163" s="8"/>
      <c r="F163" s="8"/>
      <c r="L163" s="8"/>
    </row>
    <row r="164">
      <c r="B164" s="8"/>
      <c r="F164" s="8"/>
      <c r="L164" s="8"/>
    </row>
    <row r="165">
      <c r="B165" s="8"/>
      <c r="F165" s="8"/>
      <c r="L165" s="8"/>
    </row>
    <row r="166">
      <c r="B166" s="8"/>
      <c r="F166" s="8"/>
      <c r="L166" s="8"/>
    </row>
    <row r="167">
      <c r="B167" s="8"/>
      <c r="F167" s="8"/>
      <c r="L167" s="8"/>
    </row>
    <row r="168">
      <c r="B168" s="8"/>
      <c r="F168" s="8"/>
      <c r="L168" s="8"/>
    </row>
    <row r="169">
      <c r="B169" s="8"/>
      <c r="F169" s="8"/>
      <c r="L169" s="8"/>
    </row>
    <row r="170">
      <c r="B170" s="8"/>
      <c r="F170" s="8"/>
      <c r="L170" s="8"/>
    </row>
    <row r="171">
      <c r="B171" s="8"/>
      <c r="F171" s="8"/>
      <c r="L171" s="8"/>
    </row>
    <row r="172">
      <c r="B172" s="8"/>
      <c r="F172" s="8"/>
      <c r="L172" s="8"/>
    </row>
    <row r="173">
      <c r="B173" s="8"/>
      <c r="F173" s="8"/>
      <c r="L173" s="8"/>
    </row>
    <row r="174">
      <c r="B174" s="8"/>
      <c r="F174" s="8"/>
      <c r="L174" s="8"/>
    </row>
    <row r="175">
      <c r="B175" s="8"/>
      <c r="F175" s="8"/>
      <c r="L175" s="8"/>
    </row>
    <row r="176">
      <c r="B176" s="8"/>
      <c r="F176" s="8"/>
      <c r="L176" s="8"/>
    </row>
    <row r="177">
      <c r="B177" s="8"/>
      <c r="F177" s="8"/>
      <c r="L177" s="8"/>
    </row>
    <row r="178">
      <c r="B178" s="8"/>
      <c r="F178" s="8"/>
      <c r="L178" s="8"/>
    </row>
    <row r="179">
      <c r="B179" s="8"/>
      <c r="F179" s="8"/>
      <c r="L179" s="8"/>
    </row>
    <row r="180">
      <c r="B180" s="8"/>
      <c r="F180" s="8"/>
      <c r="L180" s="8"/>
    </row>
    <row r="181">
      <c r="B181" s="8"/>
      <c r="F181" s="8"/>
      <c r="L181" s="8"/>
    </row>
    <row r="182">
      <c r="B182" s="8"/>
      <c r="F182" s="8"/>
      <c r="L182" s="8"/>
    </row>
    <row r="183">
      <c r="B183" s="8"/>
      <c r="F183" s="8"/>
      <c r="L183" s="8"/>
    </row>
    <row r="184">
      <c r="B184" s="8"/>
      <c r="F184" s="8"/>
      <c r="L184" s="8"/>
    </row>
    <row r="185">
      <c r="B185" s="8"/>
      <c r="F185" s="8"/>
      <c r="L185" s="8"/>
    </row>
    <row r="186">
      <c r="B186" s="8"/>
      <c r="F186" s="8"/>
      <c r="L186" s="8"/>
    </row>
    <row r="187">
      <c r="B187" s="8"/>
      <c r="F187" s="8"/>
      <c r="L187" s="8"/>
    </row>
    <row r="188">
      <c r="B188" s="8"/>
      <c r="F188" s="8"/>
      <c r="L188" s="8"/>
    </row>
    <row r="189">
      <c r="B189" s="8"/>
      <c r="F189" s="8"/>
      <c r="L189" s="8"/>
    </row>
    <row r="190">
      <c r="B190" s="8"/>
      <c r="F190" s="8"/>
      <c r="L190" s="8"/>
    </row>
    <row r="191">
      <c r="B191" s="8"/>
      <c r="F191" s="8"/>
      <c r="L191" s="8"/>
    </row>
    <row r="192">
      <c r="B192" s="8"/>
      <c r="F192" s="8"/>
      <c r="L192" s="8"/>
    </row>
    <row r="193">
      <c r="B193" s="8"/>
      <c r="F193" s="8"/>
      <c r="L193" s="8"/>
    </row>
    <row r="194">
      <c r="B194" s="8"/>
      <c r="F194" s="8"/>
      <c r="L194" s="8"/>
    </row>
    <row r="195">
      <c r="B195" s="8"/>
      <c r="F195" s="8"/>
      <c r="L195" s="8"/>
    </row>
    <row r="196">
      <c r="B196" s="8"/>
      <c r="F196" s="8"/>
      <c r="L196" s="8"/>
    </row>
    <row r="197">
      <c r="B197" s="8"/>
      <c r="F197" s="8"/>
      <c r="L197" s="8"/>
    </row>
    <row r="198">
      <c r="B198" s="8"/>
      <c r="F198" s="8"/>
      <c r="L198" s="8"/>
    </row>
    <row r="199">
      <c r="B199" s="8"/>
      <c r="F199" s="8"/>
      <c r="L199" s="8"/>
    </row>
    <row r="200">
      <c r="B200" s="8"/>
      <c r="F200" s="8"/>
      <c r="L200" s="8"/>
    </row>
    <row r="201">
      <c r="B201" s="8"/>
      <c r="F201" s="8"/>
      <c r="L201" s="8"/>
    </row>
    <row r="202">
      <c r="B202" s="8"/>
      <c r="F202" s="8"/>
      <c r="L202" s="8"/>
    </row>
    <row r="203">
      <c r="B203" s="8"/>
      <c r="F203" s="8"/>
      <c r="L203" s="8"/>
    </row>
    <row r="204">
      <c r="B204" s="8"/>
      <c r="F204" s="8"/>
      <c r="L204" s="8"/>
    </row>
    <row r="205">
      <c r="B205" s="8"/>
      <c r="F205" s="8"/>
      <c r="L205" s="8"/>
    </row>
    <row r="206">
      <c r="B206" s="8"/>
      <c r="F206" s="8"/>
      <c r="L206" s="8"/>
    </row>
    <row r="207">
      <c r="B207" s="8"/>
      <c r="F207" s="8"/>
      <c r="L207" s="8"/>
    </row>
    <row r="208">
      <c r="B208" s="8"/>
      <c r="F208" s="8"/>
      <c r="L208" s="8"/>
    </row>
    <row r="209">
      <c r="B209" s="8"/>
      <c r="F209" s="8"/>
      <c r="L209" s="8"/>
    </row>
    <row r="210">
      <c r="B210" s="8"/>
      <c r="F210" s="8"/>
      <c r="L210" s="8"/>
    </row>
    <row r="211">
      <c r="B211" s="8"/>
      <c r="F211" s="8"/>
      <c r="L211" s="8"/>
    </row>
    <row r="212">
      <c r="B212" s="8"/>
      <c r="F212" s="8"/>
      <c r="L212" s="8"/>
    </row>
    <row r="213">
      <c r="B213" s="8"/>
      <c r="F213" s="8"/>
      <c r="L213" s="8"/>
    </row>
    <row r="214">
      <c r="B214" s="8"/>
      <c r="F214" s="8"/>
      <c r="L214" s="8"/>
    </row>
    <row r="215">
      <c r="B215" s="8"/>
      <c r="F215" s="8"/>
      <c r="L215" s="8"/>
    </row>
    <row r="216">
      <c r="B216" s="8"/>
      <c r="F216" s="8"/>
      <c r="L216" s="8"/>
    </row>
    <row r="217">
      <c r="B217" s="8"/>
      <c r="F217" s="8"/>
      <c r="L217" s="8"/>
    </row>
    <row r="218">
      <c r="B218" s="8"/>
      <c r="F218" s="8"/>
      <c r="L218" s="8"/>
    </row>
    <row r="219">
      <c r="B219" s="8"/>
      <c r="F219" s="8"/>
      <c r="L219" s="8"/>
    </row>
    <row r="220">
      <c r="B220" s="8"/>
      <c r="F220" s="8"/>
      <c r="L220" s="8"/>
    </row>
    <row r="221">
      <c r="B221" s="8"/>
      <c r="F221" s="8"/>
      <c r="L221" s="8"/>
    </row>
    <row r="222">
      <c r="B222" s="8"/>
      <c r="F222" s="8"/>
      <c r="L222" s="8"/>
    </row>
    <row r="223">
      <c r="B223" s="8"/>
      <c r="F223" s="8"/>
      <c r="L223" s="8"/>
    </row>
    <row r="224">
      <c r="B224" s="8"/>
      <c r="F224" s="8"/>
      <c r="L224" s="8"/>
    </row>
    <row r="225">
      <c r="B225" s="8"/>
      <c r="F225" s="8"/>
      <c r="L225" s="8"/>
    </row>
    <row r="226">
      <c r="B226" s="8"/>
      <c r="F226" s="8"/>
      <c r="L226" s="8"/>
    </row>
    <row r="227">
      <c r="B227" s="8"/>
      <c r="F227" s="8"/>
      <c r="L227" s="8"/>
    </row>
    <row r="228">
      <c r="B228" s="8"/>
      <c r="F228" s="8"/>
      <c r="L228" s="8"/>
    </row>
    <row r="229">
      <c r="B229" s="8"/>
      <c r="F229" s="8"/>
      <c r="L229" s="8"/>
    </row>
    <row r="230">
      <c r="B230" s="8"/>
      <c r="F230" s="8"/>
      <c r="L230" s="8"/>
    </row>
    <row r="231">
      <c r="B231" s="8"/>
      <c r="F231" s="8"/>
      <c r="L231" s="8"/>
    </row>
    <row r="232">
      <c r="B232" s="8"/>
      <c r="F232" s="8"/>
      <c r="L232" s="8"/>
    </row>
    <row r="233">
      <c r="B233" s="8"/>
      <c r="F233" s="8"/>
      <c r="L233" s="8"/>
    </row>
    <row r="234">
      <c r="B234" s="8"/>
      <c r="F234" s="8"/>
      <c r="L234" s="8"/>
    </row>
    <row r="235">
      <c r="B235" s="8"/>
      <c r="F235" s="8"/>
      <c r="L235" s="8"/>
    </row>
    <row r="236">
      <c r="B236" s="8"/>
      <c r="F236" s="8"/>
      <c r="L236" s="8"/>
    </row>
    <row r="237">
      <c r="B237" s="8"/>
      <c r="F237" s="8"/>
      <c r="L237" s="8"/>
    </row>
    <row r="238">
      <c r="B238" s="8"/>
      <c r="F238" s="8"/>
      <c r="L238" s="8"/>
    </row>
    <row r="239">
      <c r="B239" s="8"/>
      <c r="F239" s="8"/>
      <c r="L239" s="8"/>
    </row>
    <row r="240">
      <c r="B240" s="8"/>
      <c r="F240" s="8"/>
      <c r="L240" s="8"/>
    </row>
    <row r="241">
      <c r="B241" s="8"/>
      <c r="F241" s="8"/>
      <c r="L241" s="8"/>
    </row>
    <row r="242">
      <c r="B242" s="8"/>
      <c r="F242" s="8"/>
      <c r="L242" s="8"/>
    </row>
    <row r="243">
      <c r="B243" s="8"/>
      <c r="F243" s="8"/>
      <c r="L243" s="8"/>
    </row>
    <row r="244">
      <c r="B244" s="8"/>
      <c r="F244" s="8"/>
      <c r="L244" s="8"/>
    </row>
    <row r="245">
      <c r="B245" s="8"/>
      <c r="F245" s="8"/>
      <c r="L245" s="8"/>
    </row>
    <row r="246">
      <c r="B246" s="8"/>
      <c r="F246" s="8"/>
      <c r="L246" s="8"/>
    </row>
    <row r="247">
      <c r="B247" s="8"/>
      <c r="F247" s="8"/>
      <c r="L247" s="8"/>
    </row>
    <row r="248">
      <c r="B248" s="8"/>
      <c r="F248" s="8"/>
      <c r="L248" s="8"/>
    </row>
    <row r="249">
      <c r="B249" s="8"/>
      <c r="F249" s="8"/>
      <c r="L249" s="8"/>
    </row>
    <row r="250">
      <c r="B250" s="8"/>
      <c r="F250" s="8"/>
      <c r="L250" s="8"/>
    </row>
    <row r="251">
      <c r="B251" s="8"/>
      <c r="F251" s="8"/>
      <c r="L251" s="8"/>
    </row>
    <row r="252">
      <c r="B252" s="8"/>
      <c r="F252" s="8"/>
      <c r="L252" s="8"/>
    </row>
    <row r="253">
      <c r="B253" s="8"/>
      <c r="F253" s="8"/>
      <c r="L253" s="8"/>
    </row>
    <row r="254">
      <c r="B254" s="8"/>
      <c r="F254" s="8"/>
      <c r="L254" s="8"/>
    </row>
    <row r="255">
      <c r="B255" s="8"/>
      <c r="F255" s="8"/>
      <c r="L255" s="8"/>
    </row>
    <row r="256">
      <c r="B256" s="8"/>
      <c r="F256" s="8"/>
      <c r="L256" s="8"/>
    </row>
    <row r="257">
      <c r="B257" s="8"/>
      <c r="F257" s="8"/>
      <c r="L257" s="8"/>
    </row>
    <row r="258">
      <c r="B258" s="8"/>
      <c r="F258" s="8"/>
      <c r="L258" s="8"/>
    </row>
    <row r="259">
      <c r="B259" s="8"/>
      <c r="F259" s="8"/>
      <c r="L259" s="8"/>
    </row>
    <row r="260">
      <c r="B260" s="8"/>
      <c r="F260" s="8"/>
      <c r="L260" s="8"/>
    </row>
    <row r="261">
      <c r="B261" s="8"/>
      <c r="F261" s="8"/>
      <c r="L261" s="8"/>
    </row>
    <row r="262">
      <c r="B262" s="8"/>
      <c r="F262" s="8"/>
      <c r="L262" s="8"/>
    </row>
    <row r="263">
      <c r="B263" s="8"/>
      <c r="F263" s="8"/>
      <c r="L263" s="8"/>
    </row>
    <row r="264">
      <c r="B264" s="8"/>
      <c r="F264" s="8"/>
      <c r="L264" s="8"/>
    </row>
    <row r="265">
      <c r="B265" s="8"/>
      <c r="F265" s="8"/>
      <c r="L265" s="8"/>
    </row>
    <row r="266">
      <c r="B266" s="8"/>
      <c r="F266" s="8"/>
      <c r="L266" s="8"/>
    </row>
    <row r="267">
      <c r="B267" s="8"/>
      <c r="F267" s="8"/>
      <c r="L267" s="8"/>
    </row>
    <row r="268">
      <c r="B268" s="8"/>
      <c r="F268" s="8"/>
      <c r="L268" s="8"/>
    </row>
    <row r="269">
      <c r="B269" s="8"/>
      <c r="F269" s="8"/>
      <c r="L269" s="8"/>
    </row>
    <row r="270">
      <c r="B270" s="8"/>
      <c r="F270" s="8"/>
      <c r="L270" s="8"/>
    </row>
    <row r="271">
      <c r="B271" s="8"/>
      <c r="F271" s="8"/>
      <c r="L271" s="8"/>
    </row>
    <row r="272">
      <c r="B272" s="8"/>
      <c r="F272" s="8"/>
      <c r="L272" s="8"/>
    </row>
    <row r="273">
      <c r="B273" s="8"/>
      <c r="F273" s="8"/>
      <c r="L273" s="8"/>
    </row>
    <row r="274">
      <c r="B274" s="8"/>
      <c r="F274" s="8"/>
      <c r="L274" s="8"/>
    </row>
    <row r="275">
      <c r="B275" s="8"/>
      <c r="F275" s="8"/>
      <c r="L275" s="8"/>
    </row>
    <row r="276">
      <c r="B276" s="8"/>
      <c r="F276" s="8"/>
      <c r="L276" s="8"/>
    </row>
    <row r="277">
      <c r="B277" s="8"/>
      <c r="F277" s="8"/>
      <c r="L277" s="8"/>
    </row>
    <row r="278">
      <c r="B278" s="8"/>
      <c r="F278" s="8"/>
      <c r="L278" s="8"/>
    </row>
    <row r="279">
      <c r="B279" s="8"/>
      <c r="F279" s="8"/>
      <c r="L279" s="8"/>
    </row>
    <row r="280">
      <c r="B280" s="8"/>
      <c r="F280" s="8"/>
      <c r="L280" s="8"/>
    </row>
    <row r="281">
      <c r="B281" s="8"/>
      <c r="F281" s="8"/>
      <c r="L281" s="8"/>
    </row>
    <row r="282">
      <c r="B282" s="8"/>
      <c r="F282" s="8"/>
      <c r="L282" s="8"/>
    </row>
    <row r="283">
      <c r="B283" s="8"/>
      <c r="F283" s="8"/>
      <c r="L283" s="8"/>
    </row>
    <row r="284">
      <c r="B284" s="8"/>
      <c r="F284" s="8"/>
      <c r="L284" s="8"/>
    </row>
    <row r="285">
      <c r="B285" s="8"/>
      <c r="F285" s="8"/>
      <c r="L285" s="8"/>
    </row>
    <row r="286">
      <c r="B286" s="8"/>
      <c r="F286" s="8"/>
      <c r="L286" s="8"/>
    </row>
    <row r="287">
      <c r="B287" s="8"/>
      <c r="F287" s="8"/>
      <c r="L287" s="8"/>
    </row>
    <row r="288">
      <c r="B288" s="8"/>
      <c r="F288" s="8"/>
      <c r="L288" s="8"/>
    </row>
    <row r="289">
      <c r="B289" s="8"/>
      <c r="F289" s="8"/>
      <c r="L289" s="8"/>
    </row>
    <row r="290">
      <c r="B290" s="8"/>
      <c r="F290" s="8"/>
      <c r="L290" s="8"/>
    </row>
    <row r="291">
      <c r="B291" s="8"/>
      <c r="F291" s="8"/>
      <c r="L291" s="8"/>
    </row>
    <row r="292">
      <c r="B292" s="8"/>
      <c r="F292" s="8"/>
      <c r="L292" s="8"/>
    </row>
    <row r="293">
      <c r="B293" s="8"/>
      <c r="F293" s="8"/>
      <c r="L293" s="8"/>
    </row>
    <row r="294">
      <c r="B294" s="8"/>
      <c r="F294" s="8"/>
      <c r="L294" s="8"/>
    </row>
    <row r="295">
      <c r="B295" s="8"/>
      <c r="F295" s="8"/>
      <c r="L295" s="8"/>
    </row>
    <row r="296">
      <c r="B296" s="8"/>
      <c r="F296" s="8"/>
      <c r="L296" s="8"/>
    </row>
    <row r="297">
      <c r="B297" s="8"/>
      <c r="F297" s="8"/>
      <c r="L297" s="8"/>
    </row>
    <row r="298">
      <c r="B298" s="8"/>
      <c r="F298" s="8"/>
      <c r="L298" s="8"/>
    </row>
    <row r="299">
      <c r="B299" s="8"/>
      <c r="F299" s="8"/>
      <c r="L299" s="8"/>
    </row>
    <row r="300">
      <c r="B300" s="8"/>
      <c r="F300" s="8"/>
      <c r="L300" s="8"/>
    </row>
    <row r="301">
      <c r="B301" s="8"/>
      <c r="F301" s="8"/>
      <c r="L301" s="8"/>
    </row>
    <row r="302">
      <c r="B302" s="8"/>
      <c r="F302" s="8"/>
      <c r="L302" s="8"/>
    </row>
    <row r="303">
      <c r="B303" s="8"/>
      <c r="F303" s="8"/>
      <c r="L303" s="8"/>
    </row>
    <row r="304">
      <c r="B304" s="8"/>
      <c r="F304" s="8"/>
      <c r="L304" s="8"/>
    </row>
    <row r="305">
      <c r="B305" s="8"/>
      <c r="F305" s="8"/>
      <c r="L305" s="8"/>
    </row>
    <row r="306">
      <c r="B306" s="8"/>
      <c r="F306" s="8"/>
      <c r="L306" s="8"/>
    </row>
    <row r="307">
      <c r="B307" s="8"/>
      <c r="F307" s="8"/>
      <c r="L307" s="8"/>
    </row>
    <row r="308">
      <c r="B308" s="8"/>
      <c r="F308" s="8"/>
      <c r="L308" s="8"/>
    </row>
    <row r="309">
      <c r="B309" s="8"/>
      <c r="F309" s="8"/>
      <c r="L309" s="8"/>
    </row>
    <row r="310">
      <c r="B310" s="8"/>
      <c r="F310" s="8"/>
      <c r="L310" s="8"/>
    </row>
    <row r="311">
      <c r="B311" s="8"/>
      <c r="F311" s="8"/>
      <c r="L311" s="8"/>
    </row>
    <row r="312">
      <c r="B312" s="8"/>
      <c r="F312" s="8"/>
      <c r="L312" s="8"/>
    </row>
    <row r="313">
      <c r="B313" s="8"/>
      <c r="F313" s="8"/>
      <c r="L313" s="8"/>
    </row>
    <row r="314">
      <c r="B314" s="8"/>
      <c r="F314" s="8"/>
      <c r="L314" s="8"/>
    </row>
    <row r="315">
      <c r="B315" s="8"/>
      <c r="F315" s="8"/>
      <c r="L315" s="8"/>
    </row>
    <row r="316">
      <c r="B316" s="8"/>
      <c r="F316" s="8"/>
      <c r="L316" s="8"/>
    </row>
    <row r="317">
      <c r="B317" s="8"/>
      <c r="F317" s="8"/>
      <c r="L317" s="8"/>
    </row>
    <row r="318">
      <c r="B318" s="8"/>
      <c r="F318" s="8"/>
      <c r="L318" s="8"/>
    </row>
    <row r="319">
      <c r="B319" s="8"/>
      <c r="F319" s="8"/>
      <c r="L319" s="8"/>
    </row>
    <row r="320">
      <c r="B320" s="8"/>
      <c r="F320" s="8"/>
      <c r="L320" s="8"/>
    </row>
    <row r="321">
      <c r="B321" s="8"/>
      <c r="F321" s="8"/>
      <c r="L321" s="8"/>
    </row>
    <row r="322">
      <c r="B322" s="8"/>
      <c r="F322" s="8"/>
      <c r="L322" s="8"/>
    </row>
    <row r="323">
      <c r="B323" s="8"/>
      <c r="F323" s="8"/>
      <c r="L323" s="8"/>
    </row>
    <row r="324">
      <c r="B324" s="8"/>
      <c r="F324" s="8"/>
      <c r="L324" s="8"/>
    </row>
    <row r="325">
      <c r="B325" s="8"/>
      <c r="F325" s="8"/>
      <c r="L325" s="8"/>
    </row>
    <row r="326">
      <c r="B326" s="8"/>
      <c r="F326" s="8"/>
      <c r="L326" s="8"/>
    </row>
    <row r="327">
      <c r="B327" s="8"/>
      <c r="F327" s="8"/>
      <c r="L327" s="8"/>
    </row>
    <row r="328">
      <c r="B328" s="8"/>
      <c r="F328" s="8"/>
      <c r="L328" s="8"/>
    </row>
    <row r="329">
      <c r="B329" s="8"/>
      <c r="F329" s="8"/>
      <c r="L329" s="8"/>
    </row>
    <row r="330">
      <c r="B330" s="8"/>
      <c r="F330" s="8"/>
      <c r="L330" s="8"/>
    </row>
    <row r="331">
      <c r="B331" s="8"/>
      <c r="F331" s="8"/>
      <c r="L331" s="8"/>
    </row>
    <row r="332">
      <c r="B332" s="8"/>
      <c r="F332" s="8"/>
      <c r="L332" s="8"/>
    </row>
    <row r="333">
      <c r="B333" s="8"/>
      <c r="F333" s="8"/>
      <c r="L333" s="8"/>
    </row>
    <row r="334">
      <c r="B334" s="8"/>
      <c r="F334" s="8"/>
      <c r="L334" s="8"/>
    </row>
    <row r="335">
      <c r="B335" s="8"/>
      <c r="F335" s="8"/>
      <c r="L335" s="8"/>
    </row>
    <row r="336">
      <c r="B336" s="8"/>
      <c r="F336" s="8"/>
      <c r="L336" s="8"/>
    </row>
    <row r="337">
      <c r="B337" s="8"/>
      <c r="F337" s="8"/>
      <c r="L337" s="8"/>
    </row>
    <row r="338">
      <c r="B338" s="8"/>
      <c r="F338" s="8"/>
      <c r="L338" s="8"/>
    </row>
    <row r="339">
      <c r="B339" s="8"/>
      <c r="F339" s="8"/>
      <c r="L339" s="8"/>
    </row>
    <row r="340">
      <c r="B340" s="8"/>
      <c r="F340" s="8"/>
      <c r="L340" s="8"/>
    </row>
    <row r="341">
      <c r="B341" s="8"/>
      <c r="F341" s="8"/>
      <c r="L341" s="8"/>
    </row>
    <row r="342">
      <c r="B342" s="8"/>
      <c r="F342" s="8"/>
      <c r="L342" s="8"/>
    </row>
    <row r="343">
      <c r="B343" s="8"/>
      <c r="F343" s="8"/>
      <c r="L343" s="8"/>
    </row>
    <row r="344">
      <c r="B344" s="8"/>
      <c r="F344" s="8"/>
      <c r="L344" s="8"/>
    </row>
    <row r="345">
      <c r="B345" s="8"/>
      <c r="F345" s="8"/>
      <c r="L345" s="8"/>
    </row>
    <row r="346">
      <c r="B346" s="8"/>
      <c r="F346" s="8"/>
      <c r="L346" s="8"/>
    </row>
    <row r="347">
      <c r="B347" s="8"/>
      <c r="F347" s="8"/>
      <c r="L347" s="8"/>
    </row>
    <row r="348">
      <c r="B348" s="8"/>
      <c r="F348" s="8"/>
      <c r="L348" s="8"/>
    </row>
    <row r="349">
      <c r="B349" s="8"/>
      <c r="F349" s="8"/>
      <c r="L349" s="8"/>
    </row>
    <row r="350">
      <c r="B350" s="8"/>
      <c r="F350" s="8"/>
      <c r="L350" s="8"/>
    </row>
    <row r="351">
      <c r="B351" s="8"/>
      <c r="F351" s="8"/>
      <c r="L351" s="8"/>
    </row>
    <row r="352">
      <c r="B352" s="8"/>
      <c r="F352" s="8"/>
      <c r="L352" s="8"/>
    </row>
    <row r="353">
      <c r="B353" s="8"/>
      <c r="F353" s="8"/>
      <c r="L353" s="8"/>
    </row>
    <row r="354">
      <c r="B354" s="8"/>
      <c r="F354" s="8"/>
      <c r="L354" s="8"/>
    </row>
    <row r="355">
      <c r="B355" s="8"/>
      <c r="F355" s="8"/>
      <c r="L355" s="8"/>
    </row>
    <row r="356">
      <c r="B356" s="8"/>
      <c r="F356" s="8"/>
      <c r="L356" s="8"/>
    </row>
    <row r="357">
      <c r="B357" s="8"/>
      <c r="F357" s="8"/>
      <c r="L357" s="8"/>
    </row>
    <row r="358">
      <c r="B358" s="8"/>
      <c r="F358" s="8"/>
      <c r="L358" s="8"/>
    </row>
    <row r="359">
      <c r="B359" s="8"/>
      <c r="F359" s="8"/>
      <c r="L359" s="8"/>
    </row>
    <row r="360">
      <c r="B360" s="8"/>
      <c r="F360" s="8"/>
      <c r="L360" s="8"/>
    </row>
    <row r="361">
      <c r="B361" s="8"/>
      <c r="F361" s="8"/>
      <c r="L361" s="8"/>
    </row>
    <row r="362">
      <c r="B362" s="8"/>
      <c r="F362" s="8"/>
      <c r="L362" s="8"/>
    </row>
    <row r="363">
      <c r="B363" s="8"/>
      <c r="F363" s="8"/>
      <c r="L363" s="8"/>
    </row>
    <row r="364">
      <c r="B364" s="8"/>
      <c r="F364" s="8"/>
      <c r="L364" s="8"/>
    </row>
    <row r="365">
      <c r="B365" s="8"/>
      <c r="F365" s="8"/>
      <c r="L365" s="8"/>
    </row>
    <row r="366">
      <c r="B366" s="8"/>
      <c r="F366" s="8"/>
      <c r="L366" s="8"/>
    </row>
    <row r="367">
      <c r="B367" s="8"/>
      <c r="F367" s="8"/>
      <c r="L367" s="8"/>
    </row>
    <row r="368">
      <c r="B368" s="8"/>
      <c r="F368" s="8"/>
      <c r="L368" s="8"/>
    </row>
    <row r="369">
      <c r="B369" s="8"/>
      <c r="F369" s="8"/>
      <c r="L369" s="8"/>
    </row>
    <row r="370">
      <c r="B370" s="8"/>
      <c r="F370" s="8"/>
      <c r="L370" s="8"/>
    </row>
    <row r="371">
      <c r="B371" s="8"/>
      <c r="F371" s="8"/>
      <c r="L371" s="8"/>
    </row>
    <row r="372">
      <c r="B372" s="8"/>
      <c r="F372" s="8"/>
      <c r="L372" s="8"/>
    </row>
    <row r="373">
      <c r="B373" s="8"/>
      <c r="F373" s="8"/>
      <c r="L373" s="8"/>
    </row>
    <row r="374">
      <c r="B374" s="8"/>
      <c r="F374" s="8"/>
      <c r="L374" s="8"/>
    </row>
    <row r="375">
      <c r="B375" s="8"/>
      <c r="F375" s="8"/>
      <c r="L375" s="8"/>
    </row>
    <row r="376">
      <c r="B376" s="8"/>
      <c r="F376" s="8"/>
      <c r="L376" s="8"/>
    </row>
    <row r="377">
      <c r="B377" s="8"/>
      <c r="F377" s="8"/>
      <c r="L377" s="8"/>
    </row>
    <row r="378">
      <c r="B378" s="8"/>
      <c r="F378" s="8"/>
      <c r="L378" s="8"/>
    </row>
    <row r="379">
      <c r="B379" s="8"/>
      <c r="F379" s="8"/>
      <c r="L379" s="8"/>
    </row>
    <row r="380">
      <c r="B380" s="8"/>
      <c r="F380" s="8"/>
      <c r="L380" s="8"/>
    </row>
    <row r="381">
      <c r="B381" s="8"/>
      <c r="F381" s="8"/>
      <c r="L381" s="8"/>
    </row>
    <row r="382">
      <c r="B382" s="8"/>
      <c r="F382" s="8"/>
      <c r="L382" s="8"/>
    </row>
    <row r="383">
      <c r="B383" s="8"/>
      <c r="F383" s="8"/>
      <c r="L383" s="8"/>
    </row>
    <row r="384">
      <c r="B384" s="8"/>
      <c r="F384" s="8"/>
      <c r="L384" s="8"/>
    </row>
    <row r="385">
      <c r="B385" s="8"/>
      <c r="F385" s="8"/>
      <c r="L385" s="8"/>
    </row>
    <row r="386">
      <c r="B386" s="8"/>
      <c r="F386" s="8"/>
      <c r="L386" s="8"/>
    </row>
    <row r="387">
      <c r="B387" s="8"/>
      <c r="F387" s="8"/>
      <c r="L387" s="8"/>
    </row>
    <row r="388">
      <c r="B388" s="8"/>
      <c r="F388" s="8"/>
      <c r="L388" s="8"/>
    </row>
    <row r="389">
      <c r="B389" s="8"/>
      <c r="F389" s="8"/>
      <c r="L389" s="8"/>
    </row>
    <row r="390">
      <c r="B390" s="8"/>
      <c r="F390" s="8"/>
      <c r="L390" s="8"/>
    </row>
    <row r="391">
      <c r="B391" s="8"/>
      <c r="F391" s="8"/>
      <c r="L391" s="8"/>
    </row>
    <row r="392">
      <c r="B392" s="8"/>
      <c r="F392" s="8"/>
      <c r="L392" s="8"/>
    </row>
    <row r="393">
      <c r="B393" s="8"/>
      <c r="F393" s="8"/>
      <c r="L393" s="8"/>
    </row>
    <row r="394">
      <c r="B394" s="8"/>
      <c r="F394" s="8"/>
      <c r="L394" s="8"/>
    </row>
    <row r="395">
      <c r="B395" s="8"/>
      <c r="F395" s="8"/>
      <c r="L395" s="8"/>
    </row>
    <row r="396">
      <c r="B396" s="8"/>
      <c r="F396" s="8"/>
      <c r="L396" s="8"/>
    </row>
    <row r="397">
      <c r="B397" s="8"/>
      <c r="F397" s="8"/>
      <c r="L397" s="8"/>
    </row>
    <row r="398">
      <c r="B398" s="8"/>
      <c r="F398" s="8"/>
      <c r="L398" s="8"/>
    </row>
    <row r="399">
      <c r="B399" s="8"/>
      <c r="F399" s="8"/>
      <c r="L399" s="8"/>
    </row>
    <row r="400">
      <c r="B400" s="8"/>
      <c r="F400" s="8"/>
      <c r="L400" s="8"/>
    </row>
    <row r="401">
      <c r="B401" s="8"/>
      <c r="F401" s="8"/>
      <c r="L401" s="8"/>
    </row>
    <row r="402">
      <c r="B402" s="8"/>
      <c r="F402" s="8"/>
      <c r="L402" s="8"/>
    </row>
    <row r="403">
      <c r="B403" s="8"/>
      <c r="F403" s="8"/>
      <c r="L403" s="8"/>
    </row>
    <row r="404">
      <c r="B404" s="8"/>
      <c r="F404" s="8"/>
      <c r="L404" s="8"/>
    </row>
    <row r="405">
      <c r="B405" s="8"/>
      <c r="F405" s="8"/>
      <c r="L405" s="8"/>
    </row>
    <row r="406">
      <c r="B406" s="8"/>
      <c r="F406" s="8"/>
      <c r="L406" s="8"/>
    </row>
    <row r="407">
      <c r="B407" s="8"/>
      <c r="F407" s="8"/>
      <c r="L407" s="8"/>
    </row>
    <row r="408">
      <c r="B408" s="8"/>
      <c r="F408" s="8"/>
      <c r="L408" s="8"/>
    </row>
    <row r="409">
      <c r="B409" s="8"/>
      <c r="F409" s="8"/>
      <c r="L409" s="8"/>
    </row>
    <row r="410">
      <c r="B410" s="8"/>
      <c r="F410" s="8"/>
      <c r="L410" s="8"/>
    </row>
    <row r="411">
      <c r="B411" s="8"/>
      <c r="F411" s="8"/>
      <c r="L411" s="8"/>
    </row>
    <row r="412">
      <c r="B412" s="8"/>
      <c r="F412" s="8"/>
      <c r="L412" s="8"/>
    </row>
    <row r="413">
      <c r="B413" s="8"/>
      <c r="F413" s="8"/>
      <c r="L413" s="8"/>
    </row>
    <row r="414">
      <c r="B414" s="8"/>
      <c r="F414" s="8"/>
      <c r="L414" s="8"/>
    </row>
    <row r="415">
      <c r="B415" s="8"/>
      <c r="F415" s="8"/>
      <c r="L415" s="8"/>
    </row>
    <row r="416">
      <c r="B416" s="8"/>
      <c r="F416" s="8"/>
      <c r="L416" s="8"/>
    </row>
    <row r="417">
      <c r="B417" s="8"/>
      <c r="F417" s="8"/>
      <c r="L417" s="8"/>
    </row>
    <row r="418">
      <c r="B418" s="8"/>
      <c r="F418" s="8"/>
      <c r="L418" s="8"/>
    </row>
    <row r="419">
      <c r="B419" s="8"/>
      <c r="F419" s="8"/>
      <c r="L419" s="8"/>
    </row>
    <row r="420">
      <c r="B420" s="8"/>
      <c r="F420" s="8"/>
      <c r="L420" s="8"/>
    </row>
    <row r="421">
      <c r="B421" s="8"/>
      <c r="F421" s="8"/>
      <c r="L421" s="8"/>
    </row>
    <row r="422">
      <c r="B422" s="8"/>
      <c r="F422" s="8"/>
      <c r="L422" s="8"/>
    </row>
    <row r="423">
      <c r="B423" s="8"/>
      <c r="F423" s="8"/>
      <c r="L423" s="8"/>
    </row>
    <row r="424">
      <c r="B424" s="8"/>
      <c r="F424" s="8"/>
      <c r="L424" s="8"/>
    </row>
    <row r="425">
      <c r="B425" s="8"/>
      <c r="F425" s="8"/>
      <c r="L425" s="8"/>
    </row>
    <row r="426">
      <c r="B426" s="8"/>
      <c r="F426" s="8"/>
      <c r="L426" s="8"/>
    </row>
    <row r="427">
      <c r="B427" s="8"/>
      <c r="F427" s="8"/>
      <c r="L427" s="8"/>
    </row>
    <row r="428">
      <c r="B428" s="8"/>
      <c r="F428" s="8"/>
      <c r="L428" s="8"/>
    </row>
    <row r="429">
      <c r="B429" s="8"/>
      <c r="F429" s="8"/>
      <c r="L429" s="8"/>
    </row>
    <row r="430">
      <c r="B430" s="8"/>
      <c r="F430" s="8"/>
      <c r="L430" s="8"/>
    </row>
    <row r="431">
      <c r="B431" s="8"/>
      <c r="F431" s="8"/>
      <c r="L431" s="8"/>
    </row>
    <row r="432">
      <c r="B432" s="8"/>
      <c r="F432" s="8"/>
      <c r="L432" s="8"/>
    </row>
    <row r="433">
      <c r="B433" s="8"/>
      <c r="F433" s="8"/>
      <c r="L433" s="8"/>
    </row>
    <row r="434">
      <c r="B434" s="8"/>
      <c r="F434" s="8"/>
      <c r="L434" s="8"/>
    </row>
    <row r="435">
      <c r="B435" s="8"/>
      <c r="F435" s="8"/>
      <c r="L435" s="8"/>
    </row>
    <row r="436">
      <c r="B436" s="8"/>
      <c r="F436" s="8"/>
      <c r="L436" s="8"/>
    </row>
    <row r="437">
      <c r="B437" s="8"/>
      <c r="F437" s="8"/>
      <c r="L437" s="8"/>
    </row>
    <row r="438">
      <c r="B438" s="8"/>
      <c r="F438" s="8"/>
      <c r="L438" s="8"/>
    </row>
    <row r="439">
      <c r="B439" s="8"/>
      <c r="F439" s="8"/>
      <c r="L439" s="8"/>
    </row>
    <row r="440">
      <c r="B440" s="8"/>
      <c r="F440" s="8"/>
      <c r="L440" s="8"/>
    </row>
    <row r="441">
      <c r="B441" s="8"/>
      <c r="F441" s="8"/>
      <c r="L441" s="8"/>
    </row>
    <row r="442">
      <c r="B442" s="8"/>
      <c r="F442" s="8"/>
      <c r="L442" s="8"/>
    </row>
    <row r="443">
      <c r="B443" s="8"/>
      <c r="F443" s="8"/>
      <c r="L443" s="8"/>
    </row>
    <row r="444">
      <c r="B444" s="8"/>
      <c r="F444" s="8"/>
      <c r="L444" s="8"/>
    </row>
    <row r="445">
      <c r="B445" s="8"/>
      <c r="F445" s="8"/>
      <c r="L445" s="8"/>
    </row>
    <row r="446">
      <c r="B446" s="8"/>
      <c r="F446" s="8"/>
      <c r="L446" s="8"/>
    </row>
    <row r="447">
      <c r="B447" s="8"/>
      <c r="F447" s="8"/>
      <c r="L447" s="8"/>
    </row>
    <row r="448">
      <c r="B448" s="8"/>
      <c r="F448" s="8"/>
      <c r="L448" s="8"/>
    </row>
    <row r="449">
      <c r="B449" s="8"/>
      <c r="F449" s="8"/>
      <c r="L449" s="8"/>
    </row>
    <row r="450">
      <c r="B450" s="8"/>
      <c r="F450" s="8"/>
      <c r="L450" s="8"/>
    </row>
    <row r="451">
      <c r="B451" s="8"/>
      <c r="F451" s="8"/>
      <c r="L451" s="8"/>
    </row>
    <row r="452">
      <c r="B452" s="8"/>
      <c r="F452" s="8"/>
      <c r="L452" s="8"/>
    </row>
    <row r="453">
      <c r="B453" s="8"/>
      <c r="F453" s="8"/>
      <c r="L453" s="8"/>
    </row>
    <row r="454">
      <c r="B454" s="8"/>
      <c r="F454" s="8"/>
      <c r="L454" s="8"/>
    </row>
    <row r="455">
      <c r="B455" s="8"/>
      <c r="F455" s="8"/>
      <c r="L455" s="8"/>
    </row>
    <row r="456">
      <c r="B456" s="8"/>
      <c r="F456" s="8"/>
      <c r="L456" s="8"/>
    </row>
    <row r="457">
      <c r="B457" s="8"/>
      <c r="F457" s="8"/>
      <c r="L457" s="8"/>
    </row>
    <row r="458">
      <c r="B458" s="8"/>
      <c r="F458" s="8"/>
      <c r="L458" s="8"/>
    </row>
    <row r="459">
      <c r="B459" s="8"/>
      <c r="F459" s="8"/>
      <c r="L459" s="8"/>
    </row>
    <row r="460">
      <c r="B460" s="8"/>
      <c r="F460" s="8"/>
      <c r="L460" s="8"/>
    </row>
    <row r="461">
      <c r="B461" s="8"/>
      <c r="F461" s="8"/>
      <c r="L461" s="8"/>
    </row>
    <row r="462">
      <c r="B462" s="8"/>
      <c r="F462" s="8"/>
      <c r="L462" s="8"/>
    </row>
    <row r="463">
      <c r="B463" s="8"/>
      <c r="F463" s="8"/>
      <c r="L463" s="8"/>
    </row>
    <row r="464">
      <c r="B464" s="8"/>
      <c r="F464" s="8"/>
      <c r="L464" s="8"/>
    </row>
    <row r="465">
      <c r="B465" s="8"/>
      <c r="F465" s="8"/>
      <c r="L465" s="8"/>
    </row>
    <row r="466">
      <c r="B466" s="8"/>
      <c r="F466" s="8"/>
      <c r="L466" s="8"/>
    </row>
    <row r="467">
      <c r="B467" s="8"/>
      <c r="F467" s="8"/>
      <c r="L467" s="8"/>
    </row>
    <row r="468">
      <c r="B468" s="8"/>
      <c r="F468" s="8"/>
      <c r="L468" s="8"/>
    </row>
    <row r="469">
      <c r="B469" s="8"/>
      <c r="F469" s="8"/>
      <c r="L469" s="8"/>
    </row>
    <row r="470">
      <c r="B470" s="8"/>
      <c r="F470" s="8"/>
      <c r="L470" s="8"/>
    </row>
    <row r="471">
      <c r="B471" s="8"/>
      <c r="F471" s="8"/>
      <c r="L471" s="8"/>
    </row>
    <row r="472">
      <c r="B472" s="8"/>
      <c r="F472" s="8"/>
      <c r="L472" s="8"/>
    </row>
    <row r="473">
      <c r="B473" s="8"/>
      <c r="F473" s="8"/>
      <c r="L473" s="8"/>
    </row>
    <row r="474">
      <c r="B474" s="8"/>
      <c r="F474" s="8"/>
      <c r="L474" s="8"/>
    </row>
    <row r="475">
      <c r="B475" s="8"/>
      <c r="F475" s="8"/>
      <c r="L475" s="8"/>
    </row>
    <row r="476">
      <c r="B476" s="8"/>
      <c r="F476" s="8"/>
      <c r="L476" s="8"/>
    </row>
    <row r="477">
      <c r="B477" s="8"/>
      <c r="F477" s="8"/>
      <c r="L477" s="8"/>
    </row>
    <row r="478">
      <c r="B478" s="8"/>
      <c r="F478" s="8"/>
      <c r="L478" s="8"/>
    </row>
    <row r="479">
      <c r="B479" s="8"/>
      <c r="F479" s="8"/>
      <c r="L479" s="8"/>
    </row>
    <row r="480">
      <c r="B480" s="8"/>
      <c r="F480" s="8"/>
      <c r="L480" s="8"/>
    </row>
    <row r="481">
      <c r="B481" s="8"/>
      <c r="F481" s="8"/>
      <c r="L481" s="8"/>
    </row>
    <row r="482">
      <c r="B482" s="8"/>
      <c r="F482" s="8"/>
      <c r="L482" s="8"/>
    </row>
    <row r="483">
      <c r="B483" s="8"/>
      <c r="F483" s="8"/>
      <c r="L483" s="8"/>
    </row>
    <row r="484">
      <c r="B484" s="8"/>
      <c r="F484" s="8"/>
      <c r="L484" s="8"/>
    </row>
    <row r="485">
      <c r="B485" s="8"/>
      <c r="F485" s="8"/>
      <c r="L485" s="8"/>
    </row>
    <row r="486">
      <c r="B486" s="8"/>
      <c r="F486" s="8"/>
      <c r="L486" s="8"/>
    </row>
    <row r="487">
      <c r="B487" s="8"/>
      <c r="F487" s="8"/>
      <c r="L487" s="8"/>
    </row>
    <row r="488">
      <c r="B488" s="8"/>
      <c r="F488" s="8"/>
      <c r="L488" s="8"/>
    </row>
    <row r="489">
      <c r="B489" s="8"/>
      <c r="F489" s="8"/>
      <c r="L489" s="8"/>
    </row>
    <row r="490">
      <c r="B490" s="8"/>
      <c r="F490" s="8"/>
      <c r="L490" s="8"/>
    </row>
    <row r="491">
      <c r="B491" s="8"/>
      <c r="F491" s="8"/>
      <c r="L491" s="8"/>
    </row>
    <row r="492">
      <c r="B492" s="8"/>
      <c r="F492" s="8"/>
      <c r="L492" s="8"/>
    </row>
    <row r="493">
      <c r="B493" s="8"/>
      <c r="F493" s="8"/>
      <c r="L493" s="8"/>
    </row>
    <row r="494">
      <c r="B494" s="8"/>
      <c r="F494" s="8"/>
      <c r="L494" s="8"/>
    </row>
    <row r="495">
      <c r="B495" s="8"/>
      <c r="F495" s="8"/>
      <c r="L495" s="8"/>
    </row>
    <row r="496">
      <c r="B496" s="8"/>
      <c r="F496" s="8"/>
      <c r="L496" s="8"/>
    </row>
    <row r="497">
      <c r="B497" s="8"/>
      <c r="F497" s="8"/>
      <c r="L497" s="8"/>
    </row>
    <row r="498">
      <c r="B498" s="8"/>
      <c r="F498" s="8"/>
      <c r="L498" s="8"/>
    </row>
    <row r="499">
      <c r="B499" s="8"/>
      <c r="F499" s="8"/>
      <c r="L499" s="8"/>
    </row>
    <row r="500">
      <c r="B500" s="8"/>
      <c r="F500" s="8"/>
      <c r="L500" s="8"/>
    </row>
    <row r="501">
      <c r="B501" s="8"/>
      <c r="F501" s="8"/>
      <c r="L501" s="8"/>
    </row>
    <row r="502">
      <c r="B502" s="8"/>
      <c r="F502" s="8"/>
      <c r="L502" s="8"/>
    </row>
    <row r="503">
      <c r="B503" s="8"/>
      <c r="F503" s="8"/>
      <c r="L503" s="8"/>
    </row>
    <row r="504">
      <c r="B504" s="8"/>
      <c r="F504" s="8"/>
      <c r="L504" s="8"/>
    </row>
    <row r="505">
      <c r="B505" s="8"/>
      <c r="F505" s="8"/>
      <c r="L505" s="8"/>
    </row>
    <row r="506">
      <c r="B506" s="8"/>
      <c r="F506" s="8"/>
      <c r="L506" s="8"/>
    </row>
    <row r="507">
      <c r="B507" s="8"/>
      <c r="F507" s="8"/>
      <c r="L507" s="8"/>
    </row>
    <row r="508">
      <c r="B508" s="8"/>
      <c r="F508" s="8"/>
      <c r="L508" s="8"/>
    </row>
    <row r="509">
      <c r="B509" s="8"/>
      <c r="F509" s="8"/>
      <c r="L509" s="8"/>
    </row>
    <row r="510">
      <c r="B510" s="8"/>
      <c r="F510" s="8"/>
      <c r="L510" s="8"/>
    </row>
    <row r="511">
      <c r="B511" s="8"/>
      <c r="F511" s="8"/>
      <c r="L511" s="8"/>
    </row>
    <row r="512">
      <c r="B512" s="8"/>
      <c r="F512" s="8"/>
      <c r="L512" s="8"/>
    </row>
    <row r="513">
      <c r="B513" s="8"/>
      <c r="F513" s="8"/>
      <c r="L513" s="8"/>
    </row>
    <row r="514">
      <c r="B514" s="8"/>
      <c r="F514" s="8"/>
      <c r="L514" s="8"/>
    </row>
    <row r="515">
      <c r="B515" s="8"/>
      <c r="F515" s="8"/>
      <c r="L515" s="8"/>
    </row>
    <row r="516">
      <c r="B516" s="8"/>
      <c r="F516" s="8"/>
      <c r="L516" s="8"/>
    </row>
    <row r="517">
      <c r="B517" s="8"/>
      <c r="F517" s="8"/>
      <c r="L517" s="8"/>
    </row>
    <row r="518">
      <c r="B518" s="8"/>
      <c r="F518" s="8"/>
      <c r="L518" s="8"/>
    </row>
    <row r="519">
      <c r="B519" s="8"/>
      <c r="F519" s="8"/>
      <c r="L519" s="8"/>
    </row>
    <row r="520">
      <c r="B520" s="8"/>
      <c r="F520" s="8"/>
      <c r="L520" s="8"/>
    </row>
    <row r="521">
      <c r="B521" s="8"/>
      <c r="F521" s="8"/>
      <c r="L521" s="8"/>
    </row>
    <row r="522">
      <c r="B522" s="8"/>
      <c r="F522" s="8"/>
      <c r="L522" s="8"/>
    </row>
    <row r="523">
      <c r="B523" s="8"/>
      <c r="F523" s="8"/>
      <c r="L523" s="8"/>
    </row>
    <row r="524">
      <c r="B524" s="8"/>
      <c r="F524" s="8"/>
      <c r="L524" s="8"/>
    </row>
    <row r="525">
      <c r="B525" s="8"/>
      <c r="F525" s="8"/>
      <c r="L525" s="8"/>
    </row>
    <row r="526">
      <c r="B526" s="8"/>
      <c r="F526" s="8"/>
      <c r="L526" s="8"/>
    </row>
    <row r="527">
      <c r="B527" s="8"/>
      <c r="F527" s="8"/>
      <c r="L527" s="8"/>
    </row>
    <row r="528">
      <c r="B528" s="8"/>
      <c r="F528" s="8"/>
      <c r="L528" s="8"/>
    </row>
    <row r="529">
      <c r="B529" s="8"/>
      <c r="F529" s="8"/>
      <c r="L529" s="8"/>
    </row>
    <row r="530">
      <c r="B530" s="8"/>
      <c r="F530" s="8"/>
      <c r="L530" s="8"/>
    </row>
    <row r="531">
      <c r="B531" s="8"/>
      <c r="F531" s="8"/>
      <c r="L531" s="8"/>
    </row>
    <row r="532">
      <c r="B532" s="8"/>
      <c r="F532" s="8"/>
      <c r="L532" s="8"/>
    </row>
    <row r="533">
      <c r="B533" s="8"/>
      <c r="F533" s="8"/>
      <c r="L533" s="8"/>
    </row>
    <row r="534">
      <c r="B534" s="8"/>
      <c r="F534" s="8"/>
      <c r="L534" s="8"/>
    </row>
    <row r="535">
      <c r="B535" s="8"/>
      <c r="F535" s="8"/>
      <c r="L535" s="8"/>
    </row>
    <row r="536">
      <c r="B536" s="8"/>
      <c r="F536" s="8"/>
      <c r="L536" s="8"/>
    </row>
    <row r="537">
      <c r="B537" s="8"/>
      <c r="F537" s="8"/>
      <c r="L537" s="8"/>
    </row>
    <row r="538">
      <c r="B538" s="8"/>
      <c r="F538" s="8"/>
      <c r="L538" s="8"/>
    </row>
    <row r="539">
      <c r="B539" s="8"/>
      <c r="F539" s="8"/>
      <c r="L539" s="8"/>
    </row>
    <row r="540">
      <c r="B540" s="8"/>
      <c r="F540" s="8"/>
      <c r="L540" s="8"/>
    </row>
    <row r="541">
      <c r="B541" s="8"/>
      <c r="F541" s="8"/>
      <c r="L541" s="8"/>
    </row>
    <row r="542">
      <c r="B542" s="8"/>
      <c r="F542" s="8"/>
      <c r="L542" s="8"/>
    </row>
    <row r="543">
      <c r="B543" s="8"/>
      <c r="F543" s="8"/>
      <c r="L543" s="8"/>
    </row>
    <row r="544">
      <c r="B544" s="8"/>
      <c r="F544" s="8"/>
      <c r="L544" s="8"/>
    </row>
    <row r="545">
      <c r="B545" s="8"/>
      <c r="F545" s="8"/>
      <c r="L545" s="8"/>
    </row>
    <row r="546">
      <c r="B546" s="8"/>
      <c r="F546" s="8"/>
      <c r="L546" s="8"/>
    </row>
    <row r="547">
      <c r="B547" s="8"/>
      <c r="F547" s="8"/>
      <c r="L547" s="8"/>
    </row>
    <row r="548">
      <c r="B548" s="8"/>
      <c r="F548" s="8"/>
      <c r="L548" s="8"/>
    </row>
    <row r="549">
      <c r="B549" s="8"/>
      <c r="F549" s="8"/>
      <c r="L549" s="8"/>
    </row>
    <row r="550">
      <c r="B550" s="8"/>
      <c r="F550" s="8"/>
      <c r="L550" s="8"/>
    </row>
    <row r="551">
      <c r="B551" s="8"/>
      <c r="F551" s="8"/>
      <c r="L551" s="8"/>
    </row>
    <row r="552">
      <c r="B552" s="8"/>
      <c r="F552" s="8"/>
      <c r="L552" s="8"/>
    </row>
    <row r="553">
      <c r="B553" s="8"/>
      <c r="F553" s="8"/>
      <c r="L553" s="8"/>
    </row>
    <row r="554">
      <c r="B554" s="8"/>
      <c r="F554" s="8"/>
      <c r="L554" s="8"/>
    </row>
    <row r="555">
      <c r="B555" s="8"/>
      <c r="F555" s="8"/>
      <c r="L555" s="8"/>
    </row>
    <row r="556">
      <c r="B556" s="8"/>
      <c r="F556" s="8"/>
      <c r="L556" s="8"/>
    </row>
    <row r="557">
      <c r="B557" s="8"/>
      <c r="F557" s="8"/>
      <c r="L557" s="8"/>
    </row>
    <row r="558">
      <c r="B558" s="8"/>
      <c r="F558" s="8"/>
      <c r="L558" s="8"/>
    </row>
    <row r="559">
      <c r="B559" s="8"/>
      <c r="F559" s="8"/>
      <c r="L559" s="8"/>
    </row>
    <row r="560">
      <c r="B560" s="8"/>
      <c r="F560" s="8"/>
      <c r="L560" s="8"/>
    </row>
    <row r="561">
      <c r="B561" s="8"/>
      <c r="F561" s="8"/>
      <c r="L561" s="8"/>
    </row>
    <row r="562">
      <c r="B562" s="8"/>
      <c r="F562" s="8"/>
      <c r="L562" s="8"/>
    </row>
    <row r="563">
      <c r="B563" s="8"/>
      <c r="F563" s="8"/>
      <c r="L563" s="8"/>
    </row>
    <row r="564">
      <c r="B564" s="8"/>
      <c r="F564" s="8"/>
      <c r="L564" s="8"/>
    </row>
    <row r="565">
      <c r="B565" s="8"/>
      <c r="F565" s="8"/>
      <c r="L565" s="8"/>
    </row>
    <row r="566">
      <c r="B566" s="8"/>
      <c r="F566" s="8"/>
      <c r="L566" s="8"/>
    </row>
    <row r="567">
      <c r="B567" s="8"/>
      <c r="F567" s="8"/>
      <c r="L567" s="8"/>
    </row>
    <row r="568">
      <c r="B568" s="8"/>
      <c r="F568" s="8"/>
      <c r="L568" s="8"/>
    </row>
    <row r="569">
      <c r="B569" s="8"/>
      <c r="F569" s="8"/>
      <c r="L569" s="8"/>
    </row>
    <row r="570">
      <c r="B570" s="8"/>
      <c r="F570" s="8"/>
      <c r="L570" s="8"/>
    </row>
    <row r="571">
      <c r="B571" s="8"/>
      <c r="F571" s="8"/>
      <c r="L571" s="8"/>
    </row>
    <row r="572">
      <c r="B572" s="8"/>
      <c r="F572" s="8"/>
      <c r="L572" s="8"/>
    </row>
    <row r="573">
      <c r="B573" s="8"/>
      <c r="F573" s="8"/>
      <c r="L573" s="8"/>
    </row>
    <row r="574">
      <c r="B574" s="8"/>
      <c r="F574" s="8"/>
      <c r="L574" s="8"/>
    </row>
    <row r="575">
      <c r="B575" s="8"/>
      <c r="F575" s="8"/>
      <c r="L575" s="8"/>
    </row>
    <row r="576">
      <c r="B576" s="8"/>
      <c r="F576" s="8"/>
      <c r="L576" s="8"/>
    </row>
    <row r="577">
      <c r="B577" s="8"/>
      <c r="F577" s="8"/>
      <c r="L577" s="8"/>
    </row>
    <row r="578">
      <c r="B578" s="8"/>
      <c r="F578" s="8"/>
      <c r="L578" s="8"/>
    </row>
    <row r="579">
      <c r="B579" s="8"/>
      <c r="F579" s="8"/>
      <c r="L579" s="8"/>
    </row>
    <row r="580">
      <c r="B580" s="8"/>
      <c r="F580" s="8"/>
      <c r="L580" s="8"/>
    </row>
    <row r="581">
      <c r="B581" s="8"/>
      <c r="F581" s="8"/>
      <c r="L581" s="8"/>
    </row>
    <row r="582">
      <c r="B582" s="8"/>
      <c r="F582" s="8"/>
      <c r="L582" s="8"/>
    </row>
    <row r="583">
      <c r="B583" s="8"/>
      <c r="F583" s="8"/>
      <c r="L583" s="8"/>
    </row>
    <row r="584">
      <c r="B584" s="8"/>
      <c r="F584" s="8"/>
      <c r="L584" s="8"/>
    </row>
    <row r="585">
      <c r="B585" s="8"/>
      <c r="F585" s="8"/>
      <c r="L585" s="8"/>
    </row>
    <row r="586">
      <c r="B586" s="8"/>
      <c r="F586" s="8"/>
      <c r="L586" s="8"/>
    </row>
    <row r="587">
      <c r="B587" s="8"/>
      <c r="F587" s="8"/>
      <c r="L587" s="8"/>
    </row>
    <row r="588">
      <c r="B588" s="8"/>
      <c r="F588" s="8"/>
      <c r="L588" s="8"/>
    </row>
    <row r="589">
      <c r="B589" s="8"/>
      <c r="F589" s="8"/>
      <c r="L589" s="8"/>
    </row>
    <row r="590">
      <c r="B590" s="8"/>
      <c r="F590" s="8"/>
      <c r="L590" s="8"/>
    </row>
    <row r="591">
      <c r="B591" s="8"/>
      <c r="F591" s="8"/>
      <c r="L591" s="8"/>
    </row>
    <row r="592">
      <c r="B592" s="8"/>
      <c r="F592" s="8"/>
      <c r="L592" s="8"/>
    </row>
    <row r="593">
      <c r="B593" s="8"/>
      <c r="F593" s="8"/>
      <c r="L593" s="8"/>
    </row>
    <row r="594">
      <c r="B594" s="8"/>
      <c r="F594" s="8"/>
      <c r="L594" s="8"/>
    </row>
    <row r="595">
      <c r="B595" s="8"/>
      <c r="F595" s="8"/>
      <c r="L595" s="8"/>
    </row>
    <row r="596">
      <c r="B596" s="8"/>
      <c r="F596" s="8"/>
      <c r="L596" s="8"/>
    </row>
    <row r="597">
      <c r="B597" s="8"/>
      <c r="F597" s="8"/>
      <c r="L597" s="8"/>
    </row>
    <row r="598">
      <c r="B598" s="8"/>
      <c r="F598" s="8"/>
      <c r="L598" s="8"/>
    </row>
    <row r="599">
      <c r="B599" s="8"/>
      <c r="F599" s="8"/>
      <c r="L599" s="8"/>
    </row>
    <row r="600">
      <c r="B600" s="8"/>
      <c r="F600" s="8"/>
      <c r="L600" s="8"/>
    </row>
    <row r="601">
      <c r="B601" s="8"/>
      <c r="F601" s="8"/>
      <c r="L601" s="8"/>
    </row>
    <row r="602">
      <c r="B602" s="8"/>
      <c r="F602" s="8"/>
      <c r="L602" s="8"/>
    </row>
    <row r="603">
      <c r="B603" s="8"/>
      <c r="F603" s="8"/>
      <c r="L603" s="8"/>
    </row>
    <row r="604">
      <c r="B604" s="8"/>
      <c r="F604" s="8"/>
      <c r="L604" s="8"/>
    </row>
    <row r="605">
      <c r="B605" s="8"/>
      <c r="F605" s="8"/>
      <c r="L605" s="8"/>
    </row>
    <row r="606">
      <c r="B606" s="8"/>
      <c r="F606" s="8"/>
      <c r="L606" s="8"/>
    </row>
    <row r="607">
      <c r="B607" s="8"/>
      <c r="F607" s="8"/>
      <c r="L607" s="8"/>
    </row>
    <row r="608">
      <c r="B608" s="8"/>
      <c r="F608" s="8"/>
      <c r="L608" s="8"/>
    </row>
    <row r="609">
      <c r="B609" s="8"/>
      <c r="F609" s="8"/>
      <c r="L609" s="8"/>
    </row>
    <row r="610">
      <c r="B610" s="8"/>
      <c r="F610" s="8"/>
      <c r="L610" s="8"/>
    </row>
    <row r="611">
      <c r="B611" s="8"/>
      <c r="F611" s="8"/>
      <c r="L611" s="8"/>
    </row>
    <row r="612">
      <c r="B612" s="8"/>
      <c r="F612" s="8"/>
      <c r="L612" s="8"/>
    </row>
    <row r="613">
      <c r="B613" s="8"/>
      <c r="F613" s="8"/>
      <c r="L613" s="8"/>
    </row>
    <row r="614">
      <c r="B614" s="8"/>
      <c r="F614" s="8"/>
      <c r="L614" s="8"/>
    </row>
    <row r="615">
      <c r="B615" s="8"/>
      <c r="F615" s="8"/>
      <c r="L615" s="8"/>
    </row>
    <row r="616">
      <c r="B616" s="8"/>
      <c r="F616" s="8"/>
      <c r="L616" s="8"/>
    </row>
    <row r="617">
      <c r="B617" s="8"/>
      <c r="F617" s="8"/>
      <c r="L617" s="8"/>
    </row>
    <row r="618">
      <c r="B618" s="8"/>
      <c r="F618" s="8"/>
      <c r="L618" s="8"/>
    </row>
    <row r="619">
      <c r="B619" s="8"/>
      <c r="F619" s="8"/>
      <c r="L619" s="8"/>
    </row>
    <row r="620">
      <c r="B620" s="8"/>
      <c r="F620" s="8"/>
      <c r="L620" s="8"/>
    </row>
    <row r="621">
      <c r="B621" s="8"/>
      <c r="F621" s="8"/>
      <c r="L621" s="8"/>
    </row>
    <row r="622">
      <c r="B622" s="8"/>
      <c r="F622" s="8"/>
      <c r="L622" s="8"/>
    </row>
    <row r="623">
      <c r="B623" s="8"/>
      <c r="F623" s="8"/>
      <c r="L623" s="8"/>
    </row>
    <row r="624">
      <c r="B624" s="8"/>
      <c r="F624" s="8"/>
      <c r="L624" s="8"/>
    </row>
    <row r="625">
      <c r="B625" s="8"/>
      <c r="F625" s="8"/>
      <c r="L625" s="8"/>
    </row>
    <row r="626">
      <c r="B626" s="8"/>
      <c r="F626" s="8"/>
      <c r="L626" s="8"/>
    </row>
    <row r="627">
      <c r="B627" s="8"/>
      <c r="F627" s="8"/>
      <c r="L627" s="8"/>
    </row>
    <row r="628">
      <c r="B628" s="8"/>
      <c r="F628" s="8"/>
      <c r="L628" s="8"/>
    </row>
    <row r="629">
      <c r="B629" s="8"/>
      <c r="F629" s="8"/>
      <c r="L629" s="8"/>
    </row>
    <row r="630">
      <c r="B630" s="8"/>
      <c r="F630" s="8"/>
      <c r="L630" s="8"/>
    </row>
    <row r="631">
      <c r="B631" s="8"/>
      <c r="F631" s="8"/>
      <c r="L631" s="8"/>
    </row>
    <row r="632">
      <c r="B632" s="8"/>
      <c r="F632" s="8"/>
      <c r="L632" s="8"/>
    </row>
    <row r="633">
      <c r="B633" s="8"/>
      <c r="F633" s="8"/>
      <c r="L633" s="8"/>
    </row>
    <row r="634">
      <c r="B634" s="8"/>
      <c r="F634" s="8"/>
      <c r="L634" s="8"/>
    </row>
    <row r="635">
      <c r="B635" s="8"/>
      <c r="F635" s="8"/>
      <c r="L635" s="8"/>
    </row>
    <row r="636">
      <c r="B636" s="8"/>
      <c r="F636" s="8"/>
      <c r="L636" s="8"/>
    </row>
    <row r="637">
      <c r="B637" s="8"/>
      <c r="F637" s="8"/>
      <c r="L637" s="8"/>
    </row>
    <row r="638">
      <c r="B638" s="8"/>
      <c r="F638" s="8"/>
      <c r="L638" s="8"/>
    </row>
    <row r="639">
      <c r="B639" s="8"/>
      <c r="F639" s="8"/>
      <c r="L639" s="8"/>
    </row>
    <row r="640">
      <c r="B640" s="8"/>
      <c r="F640" s="8"/>
      <c r="L640" s="8"/>
    </row>
    <row r="641">
      <c r="B641" s="8"/>
      <c r="F641" s="8"/>
      <c r="L641" s="8"/>
    </row>
    <row r="642">
      <c r="B642" s="8"/>
      <c r="F642" s="8"/>
      <c r="L642" s="8"/>
    </row>
    <row r="643">
      <c r="B643" s="8"/>
      <c r="F643" s="8"/>
      <c r="L643" s="8"/>
    </row>
    <row r="644">
      <c r="B644" s="8"/>
      <c r="F644" s="8"/>
      <c r="L644" s="8"/>
    </row>
    <row r="645">
      <c r="B645" s="8"/>
      <c r="F645" s="8"/>
      <c r="L645" s="8"/>
    </row>
    <row r="646">
      <c r="B646" s="8"/>
      <c r="F646" s="8"/>
      <c r="L646" s="8"/>
    </row>
    <row r="647">
      <c r="B647" s="8"/>
      <c r="F647" s="8"/>
      <c r="L647" s="8"/>
    </row>
    <row r="648">
      <c r="B648" s="8"/>
      <c r="F648" s="8"/>
      <c r="L648" s="8"/>
    </row>
    <row r="649">
      <c r="B649" s="8"/>
      <c r="F649" s="8"/>
      <c r="L649" s="8"/>
    </row>
    <row r="650">
      <c r="B650" s="8"/>
      <c r="F650" s="8"/>
      <c r="L650" s="8"/>
    </row>
    <row r="651">
      <c r="B651" s="8"/>
      <c r="F651" s="8"/>
      <c r="L651" s="8"/>
    </row>
    <row r="652">
      <c r="B652" s="8"/>
      <c r="F652" s="8"/>
      <c r="L652" s="8"/>
    </row>
    <row r="653">
      <c r="B653" s="8"/>
      <c r="F653" s="8"/>
      <c r="L653" s="8"/>
    </row>
    <row r="654">
      <c r="B654" s="8"/>
      <c r="F654" s="8"/>
      <c r="L654" s="8"/>
    </row>
    <row r="655">
      <c r="B655" s="8"/>
      <c r="F655" s="8"/>
      <c r="L655" s="8"/>
    </row>
    <row r="656">
      <c r="B656" s="8"/>
      <c r="F656" s="8"/>
      <c r="L656" s="8"/>
    </row>
    <row r="657">
      <c r="B657" s="8"/>
      <c r="F657" s="8"/>
      <c r="L657" s="8"/>
    </row>
    <row r="658">
      <c r="B658" s="8"/>
      <c r="F658" s="8"/>
      <c r="L658" s="8"/>
    </row>
    <row r="659">
      <c r="B659" s="8"/>
      <c r="F659" s="8"/>
      <c r="L659" s="8"/>
    </row>
    <row r="660">
      <c r="B660" s="8"/>
      <c r="F660" s="8"/>
      <c r="L660" s="8"/>
    </row>
    <row r="661">
      <c r="B661" s="8"/>
      <c r="F661" s="8"/>
      <c r="L661" s="8"/>
    </row>
    <row r="662">
      <c r="B662" s="8"/>
      <c r="F662" s="8"/>
      <c r="L662" s="8"/>
    </row>
    <row r="663">
      <c r="B663" s="8"/>
      <c r="F663" s="8"/>
      <c r="L663" s="8"/>
    </row>
    <row r="664">
      <c r="B664" s="8"/>
      <c r="F664" s="8"/>
      <c r="L664" s="8"/>
    </row>
    <row r="665">
      <c r="B665" s="8"/>
      <c r="F665" s="8"/>
      <c r="L665" s="8"/>
    </row>
    <row r="666">
      <c r="B666" s="8"/>
      <c r="F666" s="8"/>
      <c r="L666" s="8"/>
    </row>
    <row r="667">
      <c r="B667" s="8"/>
      <c r="F667" s="8"/>
      <c r="L667" s="8"/>
    </row>
    <row r="668">
      <c r="B668" s="8"/>
      <c r="F668" s="8"/>
      <c r="L668" s="8"/>
    </row>
    <row r="669">
      <c r="B669" s="8"/>
      <c r="F669" s="8"/>
      <c r="L669" s="8"/>
    </row>
    <row r="670">
      <c r="B670" s="8"/>
      <c r="F670" s="8"/>
      <c r="L670" s="8"/>
    </row>
    <row r="671">
      <c r="B671" s="8"/>
      <c r="F671" s="8"/>
      <c r="L671" s="8"/>
    </row>
    <row r="672">
      <c r="B672" s="8"/>
      <c r="F672" s="8"/>
      <c r="L672" s="8"/>
    </row>
    <row r="673">
      <c r="B673" s="8"/>
      <c r="F673" s="8"/>
      <c r="L673" s="8"/>
    </row>
    <row r="674">
      <c r="B674" s="8"/>
      <c r="F674" s="8"/>
      <c r="L674" s="8"/>
    </row>
    <row r="675">
      <c r="B675" s="8"/>
      <c r="F675" s="8"/>
      <c r="L675" s="8"/>
    </row>
    <row r="676">
      <c r="B676" s="8"/>
      <c r="F676" s="8"/>
      <c r="L676" s="8"/>
    </row>
    <row r="677">
      <c r="B677" s="8"/>
      <c r="F677" s="8"/>
      <c r="L677" s="8"/>
    </row>
    <row r="678">
      <c r="B678" s="8"/>
      <c r="F678" s="8"/>
      <c r="L678" s="8"/>
    </row>
    <row r="679">
      <c r="B679" s="8"/>
      <c r="F679" s="8"/>
      <c r="L679" s="8"/>
    </row>
    <row r="680">
      <c r="B680" s="8"/>
      <c r="F680" s="8"/>
      <c r="L680" s="8"/>
    </row>
    <row r="681">
      <c r="B681" s="8"/>
      <c r="F681" s="8"/>
      <c r="L681" s="8"/>
    </row>
    <row r="682">
      <c r="B682" s="8"/>
      <c r="F682" s="8"/>
      <c r="L682" s="8"/>
    </row>
    <row r="683">
      <c r="B683" s="8"/>
      <c r="F683" s="8"/>
      <c r="L683" s="8"/>
    </row>
    <row r="684">
      <c r="B684" s="8"/>
      <c r="F684" s="8"/>
      <c r="L684" s="8"/>
    </row>
    <row r="685">
      <c r="B685" s="8"/>
      <c r="F685" s="8"/>
      <c r="L685" s="8"/>
    </row>
    <row r="686">
      <c r="B686" s="8"/>
      <c r="F686" s="8"/>
      <c r="L686" s="8"/>
    </row>
    <row r="687">
      <c r="B687" s="8"/>
      <c r="F687" s="8"/>
      <c r="L687" s="8"/>
    </row>
    <row r="688">
      <c r="B688" s="8"/>
      <c r="F688" s="8"/>
      <c r="L688" s="8"/>
    </row>
    <row r="689">
      <c r="B689" s="8"/>
      <c r="F689" s="8"/>
      <c r="L689" s="8"/>
    </row>
    <row r="690">
      <c r="B690" s="8"/>
      <c r="F690" s="8"/>
      <c r="L690" s="8"/>
    </row>
    <row r="691">
      <c r="B691" s="8"/>
      <c r="F691" s="8"/>
      <c r="L691" s="8"/>
    </row>
    <row r="692">
      <c r="B692" s="8"/>
      <c r="F692" s="8"/>
      <c r="L692" s="8"/>
    </row>
    <row r="693">
      <c r="B693" s="8"/>
      <c r="F693" s="8"/>
      <c r="L693" s="8"/>
    </row>
    <row r="694">
      <c r="B694" s="8"/>
      <c r="F694" s="8"/>
      <c r="L694" s="8"/>
    </row>
    <row r="695">
      <c r="B695" s="8"/>
      <c r="F695" s="8"/>
      <c r="L695" s="8"/>
    </row>
    <row r="696">
      <c r="B696" s="8"/>
      <c r="F696" s="8"/>
      <c r="L696" s="8"/>
    </row>
    <row r="697">
      <c r="B697" s="8"/>
      <c r="F697" s="8"/>
      <c r="L697" s="8"/>
    </row>
    <row r="698">
      <c r="B698" s="8"/>
      <c r="F698" s="8"/>
      <c r="L698" s="8"/>
    </row>
    <row r="699">
      <c r="B699" s="8"/>
      <c r="F699" s="8"/>
      <c r="L699" s="8"/>
    </row>
    <row r="700">
      <c r="B700" s="8"/>
      <c r="F700" s="8"/>
      <c r="L700" s="8"/>
    </row>
    <row r="701">
      <c r="B701" s="8"/>
      <c r="F701" s="8"/>
      <c r="L701" s="8"/>
    </row>
    <row r="702">
      <c r="B702" s="8"/>
      <c r="F702" s="8"/>
      <c r="L702" s="8"/>
    </row>
    <row r="703">
      <c r="B703" s="8"/>
      <c r="F703" s="8"/>
      <c r="L703" s="8"/>
    </row>
    <row r="704">
      <c r="B704" s="8"/>
      <c r="F704" s="8"/>
      <c r="L704" s="8"/>
    </row>
    <row r="705">
      <c r="B705" s="8"/>
      <c r="F705" s="8"/>
      <c r="L705" s="8"/>
    </row>
    <row r="706">
      <c r="B706" s="8"/>
      <c r="F706" s="8"/>
      <c r="L706" s="8"/>
    </row>
    <row r="707">
      <c r="B707" s="8"/>
      <c r="F707" s="8"/>
      <c r="L707" s="8"/>
    </row>
    <row r="708">
      <c r="B708" s="8"/>
      <c r="F708" s="8"/>
      <c r="L708" s="8"/>
    </row>
    <row r="709">
      <c r="B709" s="8"/>
      <c r="F709" s="8"/>
      <c r="L709" s="8"/>
    </row>
    <row r="710">
      <c r="B710" s="8"/>
      <c r="F710" s="8"/>
      <c r="L710" s="8"/>
    </row>
    <row r="711">
      <c r="B711" s="8"/>
      <c r="F711" s="8"/>
      <c r="L711" s="8"/>
    </row>
    <row r="712">
      <c r="B712" s="8"/>
      <c r="F712" s="8"/>
      <c r="L712" s="8"/>
    </row>
    <row r="713">
      <c r="B713" s="8"/>
      <c r="F713" s="8"/>
      <c r="L713" s="8"/>
    </row>
    <row r="714">
      <c r="B714" s="8"/>
      <c r="F714" s="8"/>
      <c r="L714" s="8"/>
    </row>
    <row r="715">
      <c r="B715" s="8"/>
      <c r="F715" s="8"/>
      <c r="L715" s="8"/>
    </row>
    <row r="716">
      <c r="B716" s="8"/>
      <c r="F716" s="8"/>
      <c r="L716" s="8"/>
    </row>
    <row r="717">
      <c r="B717" s="8"/>
      <c r="F717" s="8"/>
      <c r="L717" s="8"/>
    </row>
    <row r="718">
      <c r="B718" s="8"/>
      <c r="F718" s="8"/>
      <c r="L718" s="8"/>
    </row>
    <row r="719">
      <c r="B719" s="8"/>
      <c r="F719" s="8"/>
      <c r="L719" s="8"/>
    </row>
    <row r="720">
      <c r="B720" s="8"/>
      <c r="F720" s="8"/>
      <c r="L720" s="8"/>
    </row>
    <row r="721">
      <c r="B721" s="8"/>
      <c r="F721" s="8"/>
      <c r="L721" s="8"/>
    </row>
    <row r="722">
      <c r="B722" s="8"/>
      <c r="F722" s="8"/>
      <c r="L722" s="8"/>
    </row>
    <row r="723">
      <c r="B723" s="8"/>
      <c r="F723" s="8"/>
      <c r="L723" s="8"/>
    </row>
    <row r="724">
      <c r="B724" s="8"/>
      <c r="F724" s="8"/>
      <c r="L724" s="8"/>
    </row>
    <row r="725">
      <c r="B725" s="8"/>
      <c r="F725" s="8"/>
      <c r="L725" s="8"/>
    </row>
    <row r="726">
      <c r="B726" s="8"/>
      <c r="F726" s="8"/>
      <c r="L726" s="8"/>
    </row>
    <row r="727">
      <c r="B727" s="8"/>
      <c r="F727" s="8"/>
      <c r="L727" s="8"/>
    </row>
    <row r="728">
      <c r="B728" s="8"/>
      <c r="F728" s="8"/>
      <c r="L728" s="8"/>
    </row>
    <row r="729">
      <c r="B729" s="8"/>
      <c r="F729" s="8"/>
      <c r="L729" s="8"/>
    </row>
    <row r="730">
      <c r="B730" s="8"/>
      <c r="F730" s="8"/>
      <c r="L730" s="8"/>
    </row>
    <row r="731">
      <c r="B731" s="8"/>
      <c r="F731" s="8"/>
      <c r="L731" s="8"/>
    </row>
    <row r="732">
      <c r="B732" s="8"/>
      <c r="F732" s="8"/>
      <c r="L732" s="8"/>
    </row>
    <row r="733">
      <c r="B733" s="8"/>
      <c r="F733" s="8"/>
      <c r="L733" s="8"/>
    </row>
    <row r="734">
      <c r="B734" s="8"/>
      <c r="F734" s="8"/>
      <c r="L734" s="8"/>
    </row>
    <row r="735">
      <c r="B735" s="8"/>
      <c r="F735" s="8"/>
      <c r="L735" s="8"/>
    </row>
    <row r="736">
      <c r="B736" s="8"/>
      <c r="F736" s="8"/>
      <c r="L736" s="8"/>
    </row>
    <row r="737">
      <c r="B737" s="8"/>
      <c r="F737" s="8"/>
      <c r="L737" s="8"/>
    </row>
    <row r="738">
      <c r="B738" s="8"/>
      <c r="F738" s="8"/>
      <c r="L738" s="8"/>
    </row>
    <row r="739">
      <c r="B739" s="8"/>
      <c r="F739" s="8"/>
      <c r="L739" s="8"/>
    </row>
    <row r="740">
      <c r="B740" s="8"/>
      <c r="F740" s="8"/>
      <c r="L740" s="8"/>
    </row>
    <row r="741">
      <c r="B741" s="8"/>
      <c r="F741" s="8"/>
      <c r="L741" s="8"/>
    </row>
    <row r="742">
      <c r="B742" s="8"/>
      <c r="F742" s="8"/>
      <c r="L742" s="8"/>
    </row>
    <row r="743">
      <c r="B743" s="8"/>
      <c r="F743" s="8"/>
      <c r="L743" s="8"/>
    </row>
    <row r="744">
      <c r="B744" s="8"/>
      <c r="F744" s="8"/>
      <c r="L744" s="8"/>
    </row>
    <row r="745">
      <c r="B745" s="8"/>
      <c r="F745" s="8"/>
      <c r="L745" s="8"/>
    </row>
    <row r="746">
      <c r="B746" s="8"/>
      <c r="F746" s="8"/>
      <c r="L746" s="8"/>
    </row>
    <row r="747">
      <c r="B747" s="8"/>
      <c r="F747" s="8"/>
      <c r="L747" s="8"/>
    </row>
    <row r="748">
      <c r="B748" s="8"/>
      <c r="F748" s="8"/>
      <c r="L748" s="8"/>
    </row>
    <row r="749">
      <c r="B749" s="8"/>
      <c r="F749" s="8"/>
      <c r="L749" s="8"/>
    </row>
    <row r="750">
      <c r="B750" s="8"/>
      <c r="F750" s="8"/>
      <c r="L750" s="8"/>
    </row>
    <row r="751">
      <c r="B751" s="8"/>
      <c r="F751" s="8"/>
      <c r="L751" s="8"/>
    </row>
    <row r="752">
      <c r="B752" s="8"/>
      <c r="F752" s="8"/>
      <c r="L752" s="8"/>
    </row>
    <row r="753">
      <c r="B753" s="8"/>
      <c r="F753" s="8"/>
      <c r="L753" s="8"/>
    </row>
    <row r="754">
      <c r="B754" s="8"/>
      <c r="F754" s="8"/>
      <c r="L754" s="8"/>
    </row>
    <row r="755">
      <c r="B755" s="8"/>
      <c r="F755" s="8"/>
      <c r="L755" s="8"/>
    </row>
    <row r="756">
      <c r="B756" s="8"/>
      <c r="F756" s="8"/>
      <c r="L756" s="8"/>
    </row>
    <row r="757">
      <c r="B757" s="8"/>
      <c r="F757" s="8"/>
      <c r="L757" s="8"/>
    </row>
    <row r="758">
      <c r="B758" s="8"/>
      <c r="F758" s="8"/>
      <c r="L758" s="8"/>
    </row>
    <row r="759">
      <c r="B759" s="8"/>
      <c r="F759" s="8"/>
      <c r="L759" s="8"/>
    </row>
    <row r="760">
      <c r="B760" s="8"/>
      <c r="F760" s="8"/>
      <c r="L760" s="8"/>
    </row>
    <row r="761">
      <c r="B761" s="8"/>
      <c r="F761" s="8"/>
      <c r="L761" s="8"/>
    </row>
    <row r="762">
      <c r="B762" s="8"/>
      <c r="F762" s="8"/>
      <c r="L762" s="8"/>
    </row>
    <row r="763">
      <c r="B763" s="8"/>
      <c r="F763" s="8"/>
      <c r="L763" s="8"/>
    </row>
    <row r="764">
      <c r="B764" s="8"/>
      <c r="F764" s="8"/>
      <c r="L764" s="8"/>
    </row>
    <row r="765">
      <c r="B765" s="8"/>
      <c r="F765" s="8"/>
      <c r="L765" s="8"/>
    </row>
    <row r="766">
      <c r="B766" s="8"/>
      <c r="F766" s="8"/>
      <c r="L766" s="8"/>
    </row>
    <row r="767">
      <c r="B767" s="8"/>
      <c r="F767" s="8"/>
      <c r="L767" s="8"/>
    </row>
    <row r="768">
      <c r="B768" s="8"/>
      <c r="F768" s="8"/>
      <c r="L768" s="8"/>
    </row>
    <row r="769">
      <c r="B769" s="8"/>
      <c r="F769" s="8"/>
      <c r="L769" s="8"/>
    </row>
    <row r="770">
      <c r="B770" s="8"/>
      <c r="F770" s="8"/>
      <c r="L770" s="8"/>
    </row>
    <row r="771">
      <c r="B771" s="8"/>
      <c r="F771" s="8"/>
      <c r="L771" s="8"/>
    </row>
    <row r="772">
      <c r="B772" s="8"/>
      <c r="F772" s="8"/>
      <c r="L772" s="8"/>
    </row>
    <row r="773">
      <c r="B773" s="8"/>
      <c r="F773" s="8"/>
      <c r="L773" s="8"/>
    </row>
    <row r="774">
      <c r="B774" s="8"/>
      <c r="F774" s="8"/>
      <c r="L774" s="8"/>
    </row>
    <row r="775">
      <c r="B775" s="8"/>
      <c r="F775" s="8"/>
      <c r="L775" s="8"/>
    </row>
    <row r="776">
      <c r="B776" s="8"/>
      <c r="F776" s="8"/>
      <c r="L776" s="8"/>
    </row>
    <row r="777">
      <c r="B777" s="8"/>
      <c r="F777" s="8"/>
      <c r="L777" s="8"/>
    </row>
    <row r="778">
      <c r="B778" s="8"/>
      <c r="F778" s="8"/>
      <c r="L778" s="8"/>
    </row>
    <row r="779">
      <c r="B779" s="8"/>
      <c r="F779" s="8"/>
      <c r="L779" s="8"/>
    </row>
    <row r="780">
      <c r="B780" s="8"/>
      <c r="F780" s="8"/>
      <c r="L780" s="8"/>
    </row>
    <row r="781">
      <c r="B781" s="8"/>
      <c r="F781" s="8"/>
      <c r="L781" s="8"/>
    </row>
    <row r="782">
      <c r="B782" s="8"/>
      <c r="F782" s="8"/>
      <c r="L782" s="8"/>
    </row>
    <row r="783">
      <c r="B783" s="8"/>
      <c r="F783" s="8"/>
      <c r="L783" s="8"/>
    </row>
    <row r="784">
      <c r="B784" s="8"/>
      <c r="F784" s="8"/>
      <c r="L784" s="8"/>
    </row>
    <row r="785">
      <c r="B785" s="8"/>
      <c r="F785" s="8"/>
      <c r="L785" s="8"/>
    </row>
    <row r="786">
      <c r="B786" s="8"/>
      <c r="F786" s="8"/>
      <c r="L786" s="8"/>
    </row>
    <row r="787">
      <c r="B787" s="8"/>
      <c r="F787" s="8"/>
      <c r="L787" s="8"/>
    </row>
    <row r="788">
      <c r="B788" s="8"/>
      <c r="F788" s="8"/>
      <c r="L788" s="8"/>
    </row>
    <row r="789">
      <c r="B789" s="8"/>
      <c r="F789" s="8"/>
      <c r="L789" s="8"/>
    </row>
    <row r="790">
      <c r="B790" s="8"/>
      <c r="F790" s="8"/>
      <c r="L790" s="8"/>
    </row>
    <row r="791">
      <c r="B791" s="8"/>
      <c r="F791" s="8"/>
      <c r="L791" s="8"/>
    </row>
    <row r="792">
      <c r="B792" s="8"/>
      <c r="F792" s="8"/>
      <c r="L792" s="8"/>
    </row>
    <row r="793">
      <c r="B793" s="8"/>
      <c r="F793" s="8"/>
      <c r="L793" s="8"/>
    </row>
    <row r="794">
      <c r="B794" s="8"/>
      <c r="F794" s="8"/>
      <c r="L794" s="8"/>
    </row>
    <row r="795">
      <c r="B795" s="8"/>
      <c r="F795" s="8"/>
      <c r="L795" s="8"/>
    </row>
    <row r="796">
      <c r="B796" s="8"/>
      <c r="F796" s="8"/>
      <c r="L796" s="8"/>
    </row>
    <row r="797">
      <c r="B797" s="8"/>
      <c r="F797" s="8"/>
      <c r="L797" s="8"/>
    </row>
    <row r="798">
      <c r="B798" s="8"/>
      <c r="F798" s="8"/>
      <c r="L798" s="8"/>
    </row>
    <row r="799">
      <c r="B799" s="8"/>
      <c r="F799" s="8"/>
      <c r="L799" s="8"/>
    </row>
    <row r="800">
      <c r="B800" s="8"/>
      <c r="F800" s="8"/>
      <c r="L800" s="8"/>
    </row>
    <row r="801">
      <c r="B801" s="8"/>
      <c r="F801" s="8"/>
      <c r="L801" s="8"/>
    </row>
    <row r="802">
      <c r="B802" s="8"/>
      <c r="F802" s="8"/>
      <c r="L802" s="8"/>
    </row>
    <row r="803">
      <c r="B803" s="8"/>
      <c r="F803" s="8"/>
      <c r="L803" s="8"/>
    </row>
    <row r="804">
      <c r="B804" s="8"/>
      <c r="F804" s="8"/>
      <c r="L804" s="8"/>
    </row>
    <row r="805">
      <c r="B805" s="8"/>
      <c r="F805" s="8"/>
      <c r="L805" s="8"/>
    </row>
    <row r="806">
      <c r="B806" s="8"/>
      <c r="F806" s="8"/>
      <c r="L806" s="8"/>
    </row>
    <row r="807">
      <c r="B807" s="8"/>
      <c r="F807" s="8"/>
      <c r="L807" s="8"/>
    </row>
    <row r="808">
      <c r="B808" s="8"/>
      <c r="F808" s="8"/>
      <c r="L808" s="8"/>
    </row>
    <row r="809">
      <c r="B809" s="8"/>
      <c r="F809" s="8"/>
      <c r="L809" s="8"/>
    </row>
    <row r="810">
      <c r="B810" s="8"/>
      <c r="F810" s="8"/>
      <c r="L810" s="8"/>
    </row>
    <row r="811">
      <c r="B811" s="8"/>
      <c r="F811" s="8"/>
      <c r="L811" s="8"/>
    </row>
    <row r="812">
      <c r="B812" s="8"/>
      <c r="F812" s="8"/>
      <c r="L812" s="8"/>
    </row>
    <row r="813">
      <c r="B813" s="8"/>
      <c r="F813" s="8"/>
      <c r="L813" s="8"/>
    </row>
    <row r="814">
      <c r="B814" s="8"/>
      <c r="F814" s="8"/>
      <c r="L814" s="8"/>
    </row>
    <row r="815">
      <c r="B815" s="8"/>
      <c r="F815" s="8"/>
      <c r="L815" s="8"/>
    </row>
    <row r="816">
      <c r="B816" s="8"/>
      <c r="F816" s="8"/>
      <c r="L816" s="8"/>
    </row>
    <row r="817">
      <c r="B817" s="8"/>
      <c r="F817" s="8"/>
      <c r="L817" s="8"/>
    </row>
    <row r="818">
      <c r="B818" s="8"/>
      <c r="F818" s="8"/>
      <c r="L818" s="8"/>
    </row>
    <row r="819">
      <c r="B819" s="8"/>
      <c r="F819" s="8"/>
      <c r="L819" s="8"/>
    </row>
    <row r="820">
      <c r="B820" s="8"/>
      <c r="F820" s="8"/>
      <c r="L820" s="8"/>
    </row>
    <row r="821">
      <c r="B821" s="8"/>
      <c r="F821" s="8"/>
      <c r="L821" s="8"/>
    </row>
    <row r="822">
      <c r="B822" s="8"/>
      <c r="F822" s="8"/>
      <c r="L822" s="8"/>
    </row>
    <row r="823">
      <c r="B823" s="8"/>
      <c r="F823" s="8"/>
      <c r="L823" s="8"/>
    </row>
    <row r="824">
      <c r="B824" s="8"/>
      <c r="F824" s="8"/>
      <c r="L824" s="8"/>
    </row>
    <row r="825">
      <c r="B825" s="8"/>
      <c r="F825" s="8"/>
      <c r="L825" s="8"/>
    </row>
    <row r="826">
      <c r="B826" s="8"/>
      <c r="F826" s="8"/>
      <c r="L826" s="8"/>
    </row>
    <row r="827">
      <c r="B827" s="8"/>
      <c r="F827" s="8"/>
      <c r="L827" s="8"/>
    </row>
    <row r="828">
      <c r="B828" s="8"/>
      <c r="F828" s="8"/>
      <c r="L828" s="8"/>
    </row>
    <row r="829">
      <c r="B829" s="8"/>
      <c r="F829" s="8"/>
      <c r="L829" s="8"/>
    </row>
    <row r="830">
      <c r="B830" s="8"/>
      <c r="F830" s="8"/>
      <c r="L830" s="8"/>
    </row>
    <row r="831">
      <c r="B831" s="8"/>
      <c r="F831" s="8"/>
      <c r="L831" s="8"/>
    </row>
    <row r="832">
      <c r="B832" s="8"/>
      <c r="F832" s="8"/>
      <c r="L832" s="8"/>
    </row>
    <row r="833">
      <c r="B833" s="8"/>
      <c r="F833" s="8"/>
      <c r="L833" s="8"/>
    </row>
    <row r="834">
      <c r="B834" s="8"/>
      <c r="F834" s="8"/>
      <c r="L834" s="8"/>
    </row>
    <row r="835">
      <c r="B835" s="8"/>
      <c r="F835" s="8"/>
      <c r="L835" s="8"/>
    </row>
    <row r="836">
      <c r="B836" s="8"/>
      <c r="F836" s="8"/>
      <c r="L836" s="8"/>
    </row>
    <row r="837">
      <c r="B837" s="8"/>
      <c r="F837" s="8"/>
      <c r="L837" s="8"/>
    </row>
    <row r="838">
      <c r="B838" s="8"/>
      <c r="F838" s="8"/>
      <c r="L838" s="8"/>
    </row>
    <row r="839">
      <c r="B839" s="8"/>
      <c r="F839" s="8"/>
      <c r="L839" s="8"/>
    </row>
    <row r="840">
      <c r="B840" s="8"/>
      <c r="F840" s="8"/>
      <c r="L840" s="8"/>
    </row>
    <row r="841">
      <c r="B841" s="8"/>
      <c r="F841" s="8"/>
      <c r="L841" s="8"/>
    </row>
    <row r="842">
      <c r="B842" s="8"/>
      <c r="F842" s="8"/>
      <c r="L842" s="8"/>
    </row>
    <row r="843">
      <c r="B843" s="8"/>
      <c r="F843" s="8"/>
      <c r="L843" s="8"/>
    </row>
    <row r="844">
      <c r="B844" s="8"/>
      <c r="F844" s="8"/>
      <c r="L844" s="8"/>
    </row>
    <row r="845">
      <c r="B845" s="8"/>
      <c r="F845" s="8"/>
      <c r="L845" s="8"/>
    </row>
    <row r="846">
      <c r="B846" s="8"/>
      <c r="F846" s="8"/>
      <c r="L846" s="8"/>
    </row>
    <row r="847">
      <c r="B847" s="8"/>
      <c r="F847" s="8"/>
      <c r="L847" s="8"/>
    </row>
    <row r="848">
      <c r="B848" s="8"/>
      <c r="F848" s="8"/>
      <c r="L848" s="8"/>
    </row>
    <row r="849">
      <c r="B849" s="8"/>
      <c r="F849" s="8"/>
      <c r="L849" s="8"/>
    </row>
    <row r="850">
      <c r="B850" s="8"/>
      <c r="F850" s="8"/>
      <c r="L850" s="8"/>
    </row>
    <row r="851">
      <c r="B851" s="8"/>
      <c r="F851" s="8"/>
      <c r="L851" s="8"/>
    </row>
    <row r="852">
      <c r="B852" s="8"/>
      <c r="F852" s="8"/>
      <c r="L852" s="8"/>
    </row>
    <row r="853">
      <c r="B853" s="8"/>
      <c r="F853" s="8"/>
      <c r="L853" s="8"/>
    </row>
    <row r="854">
      <c r="B854" s="8"/>
      <c r="F854" s="8"/>
      <c r="L854" s="8"/>
    </row>
    <row r="855">
      <c r="B855" s="8"/>
      <c r="F855" s="8"/>
      <c r="L855" s="8"/>
    </row>
    <row r="856">
      <c r="B856" s="8"/>
      <c r="F856" s="8"/>
      <c r="L856" s="8"/>
    </row>
    <row r="857">
      <c r="B857" s="8"/>
      <c r="F857" s="8"/>
      <c r="L857" s="8"/>
    </row>
    <row r="858">
      <c r="B858" s="8"/>
      <c r="F858" s="8"/>
      <c r="L858" s="8"/>
    </row>
    <row r="859">
      <c r="B859" s="8"/>
      <c r="F859" s="8"/>
      <c r="L859" s="8"/>
    </row>
    <row r="860">
      <c r="B860" s="8"/>
      <c r="F860" s="8"/>
      <c r="L860" s="8"/>
    </row>
    <row r="861">
      <c r="B861" s="8"/>
      <c r="F861" s="8"/>
      <c r="L861" s="8"/>
    </row>
    <row r="862">
      <c r="B862" s="8"/>
      <c r="F862" s="8"/>
      <c r="L862" s="8"/>
    </row>
    <row r="863">
      <c r="B863" s="8"/>
      <c r="F863" s="8"/>
      <c r="L863" s="8"/>
    </row>
    <row r="864">
      <c r="B864" s="8"/>
      <c r="F864" s="8"/>
      <c r="L864" s="8"/>
    </row>
    <row r="865">
      <c r="B865" s="8"/>
      <c r="F865" s="8"/>
      <c r="L865" s="8"/>
    </row>
    <row r="866">
      <c r="B866" s="8"/>
      <c r="F866" s="8"/>
      <c r="L866" s="8"/>
    </row>
    <row r="867">
      <c r="B867" s="8"/>
      <c r="F867" s="8"/>
      <c r="L867" s="8"/>
    </row>
    <row r="868">
      <c r="B868" s="8"/>
      <c r="F868" s="8"/>
      <c r="L868" s="8"/>
    </row>
    <row r="869">
      <c r="B869" s="8"/>
      <c r="F869" s="8"/>
      <c r="L869" s="8"/>
    </row>
    <row r="870">
      <c r="B870" s="8"/>
      <c r="F870" s="8"/>
      <c r="L870" s="8"/>
    </row>
    <row r="871">
      <c r="B871" s="8"/>
      <c r="F871" s="8"/>
      <c r="L871" s="8"/>
    </row>
    <row r="872">
      <c r="B872" s="8"/>
      <c r="F872" s="8"/>
      <c r="L872" s="8"/>
    </row>
    <row r="873">
      <c r="B873" s="8"/>
      <c r="F873" s="8"/>
      <c r="L873" s="8"/>
    </row>
    <row r="874">
      <c r="B874" s="8"/>
      <c r="F874" s="8"/>
      <c r="L874" s="8"/>
    </row>
    <row r="875">
      <c r="B875" s="8"/>
      <c r="F875" s="8"/>
      <c r="L875" s="8"/>
    </row>
    <row r="876">
      <c r="B876" s="8"/>
      <c r="F876" s="8"/>
      <c r="L876" s="8"/>
    </row>
    <row r="877">
      <c r="B877" s="8"/>
      <c r="F877" s="8"/>
      <c r="L877" s="8"/>
    </row>
    <row r="878">
      <c r="B878" s="8"/>
      <c r="F878" s="8"/>
      <c r="L878" s="8"/>
    </row>
    <row r="879">
      <c r="B879" s="8"/>
      <c r="F879" s="8"/>
      <c r="L879" s="8"/>
    </row>
    <row r="880">
      <c r="B880" s="8"/>
      <c r="F880" s="8"/>
      <c r="L880" s="8"/>
    </row>
    <row r="881">
      <c r="B881" s="8"/>
      <c r="F881" s="8"/>
      <c r="L881" s="8"/>
    </row>
    <row r="882">
      <c r="B882" s="8"/>
      <c r="F882" s="8"/>
      <c r="L882" s="8"/>
    </row>
    <row r="883">
      <c r="B883" s="8"/>
      <c r="F883" s="8"/>
      <c r="L883" s="8"/>
    </row>
    <row r="884">
      <c r="B884" s="8"/>
      <c r="F884" s="8"/>
      <c r="L884" s="8"/>
    </row>
    <row r="885">
      <c r="B885" s="8"/>
      <c r="F885" s="8"/>
      <c r="L885" s="8"/>
    </row>
    <row r="886">
      <c r="B886" s="8"/>
      <c r="F886" s="8"/>
      <c r="L886" s="8"/>
    </row>
    <row r="887">
      <c r="B887" s="8"/>
      <c r="F887" s="8"/>
      <c r="L887" s="8"/>
    </row>
    <row r="888">
      <c r="B888" s="8"/>
      <c r="F888" s="8"/>
      <c r="L888" s="8"/>
    </row>
    <row r="889">
      <c r="B889" s="8"/>
      <c r="F889" s="8"/>
      <c r="L889" s="8"/>
    </row>
    <row r="890">
      <c r="B890" s="8"/>
      <c r="F890" s="8"/>
      <c r="L890" s="8"/>
    </row>
    <row r="891">
      <c r="B891" s="8"/>
      <c r="F891" s="8"/>
      <c r="L891" s="8"/>
    </row>
    <row r="892">
      <c r="B892" s="8"/>
      <c r="F892" s="8"/>
      <c r="L892" s="8"/>
    </row>
    <row r="893">
      <c r="B893" s="8"/>
      <c r="F893" s="8"/>
      <c r="L893" s="8"/>
    </row>
    <row r="894">
      <c r="B894" s="8"/>
      <c r="F894" s="8"/>
      <c r="L894" s="8"/>
    </row>
    <row r="895">
      <c r="B895" s="8"/>
      <c r="F895" s="8"/>
      <c r="L895" s="8"/>
    </row>
    <row r="896">
      <c r="B896" s="8"/>
      <c r="F896" s="8"/>
      <c r="L896" s="8"/>
    </row>
    <row r="897">
      <c r="B897" s="8"/>
      <c r="F897" s="8"/>
      <c r="L897" s="8"/>
    </row>
    <row r="898">
      <c r="B898" s="8"/>
      <c r="F898" s="8"/>
      <c r="L898" s="8"/>
    </row>
    <row r="899">
      <c r="B899" s="8"/>
      <c r="F899" s="8"/>
      <c r="L899" s="8"/>
    </row>
    <row r="900">
      <c r="B900" s="8"/>
      <c r="F900" s="8"/>
      <c r="L900" s="8"/>
    </row>
    <row r="901">
      <c r="B901" s="8"/>
      <c r="F901" s="8"/>
      <c r="L901" s="8"/>
    </row>
    <row r="902">
      <c r="B902" s="8"/>
      <c r="F902" s="8"/>
      <c r="L902" s="8"/>
    </row>
    <row r="903">
      <c r="B903" s="8"/>
      <c r="F903" s="8"/>
      <c r="L903" s="8"/>
    </row>
    <row r="904">
      <c r="B904" s="8"/>
      <c r="F904" s="8"/>
      <c r="L904" s="8"/>
    </row>
    <row r="905">
      <c r="B905" s="8"/>
      <c r="F905" s="8"/>
      <c r="L905" s="8"/>
    </row>
    <row r="906">
      <c r="B906" s="8"/>
      <c r="F906" s="8"/>
      <c r="L906" s="8"/>
    </row>
    <row r="907">
      <c r="B907" s="8"/>
      <c r="F907" s="8"/>
      <c r="L907" s="8"/>
    </row>
    <row r="908">
      <c r="B908" s="8"/>
      <c r="F908" s="8"/>
      <c r="L908" s="8"/>
    </row>
    <row r="909">
      <c r="B909" s="8"/>
      <c r="F909" s="8"/>
      <c r="L909" s="8"/>
    </row>
    <row r="910">
      <c r="B910" s="8"/>
      <c r="F910" s="8"/>
      <c r="L910" s="8"/>
    </row>
    <row r="911">
      <c r="B911" s="8"/>
      <c r="F911" s="8"/>
      <c r="L911" s="8"/>
    </row>
    <row r="912">
      <c r="B912" s="8"/>
      <c r="F912" s="8"/>
      <c r="L912" s="8"/>
    </row>
    <row r="913">
      <c r="B913" s="8"/>
      <c r="F913" s="8"/>
      <c r="L913" s="8"/>
    </row>
    <row r="914">
      <c r="B914" s="8"/>
      <c r="F914" s="8"/>
      <c r="L914" s="8"/>
    </row>
    <row r="915">
      <c r="B915" s="8"/>
      <c r="F915" s="8"/>
      <c r="L915" s="8"/>
    </row>
    <row r="916">
      <c r="B916" s="8"/>
      <c r="F916" s="8"/>
      <c r="L916" s="8"/>
    </row>
    <row r="917">
      <c r="B917" s="8"/>
      <c r="F917" s="8"/>
      <c r="L917" s="8"/>
    </row>
    <row r="918">
      <c r="B918" s="8"/>
      <c r="F918" s="8"/>
      <c r="L918" s="8"/>
    </row>
    <row r="919">
      <c r="B919" s="8"/>
      <c r="F919" s="8"/>
      <c r="L919" s="8"/>
    </row>
    <row r="920">
      <c r="B920" s="8"/>
      <c r="F920" s="8"/>
      <c r="L920" s="8"/>
    </row>
    <row r="921">
      <c r="B921" s="8"/>
      <c r="F921" s="8"/>
      <c r="L921" s="8"/>
    </row>
    <row r="922">
      <c r="B922" s="8"/>
      <c r="F922" s="8"/>
      <c r="L922" s="8"/>
    </row>
    <row r="923">
      <c r="B923" s="8"/>
      <c r="F923" s="8"/>
      <c r="L923" s="8"/>
    </row>
    <row r="924">
      <c r="B924" s="8"/>
      <c r="F924" s="8"/>
      <c r="L924" s="8"/>
    </row>
    <row r="925">
      <c r="B925" s="8"/>
      <c r="F925" s="8"/>
      <c r="L925" s="8"/>
    </row>
    <row r="926">
      <c r="B926" s="8"/>
      <c r="F926" s="8"/>
      <c r="L926" s="8"/>
    </row>
    <row r="927">
      <c r="B927" s="8"/>
      <c r="F927" s="8"/>
      <c r="L927" s="8"/>
    </row>
    <row r="928">
      <c r="B928" s="8"/>
      <c r="F928" s="8"/>
      <c r="L928" s="8"/>
    </row>
    <row r="929">
      <c r="B929" s="8"/>
      <c r="F929" s="8"/>
      <c r="L929" s="8"/>
    </row>
    <row r="930">
      <c r="B930" s="8"/>
      <c r="F930" s="8"/>
      <c r="L930" s="8"/>
    </row>
    <row r="931">
      <c r="B931" s="8"/>
      <c r="F931" s="8"/>
      <c r="L931" s="8"/>
    </row>
    <row r="932">
      <c r="B932" s="8"/>
      <c r="F932" s="8"/>
      <c r="L932" s="8"/>
    </row>
    <row r="933">
      <c r="B933" s="8"/>
      <c r="F933" s="8"/>
      <c r="L933" s="8"/>
    </row>
    <row r="934">
      <c r="B934" s="8"/>
      <c r="F934" s="8"/>
      <c r="L934" s="8"/>
    </row>
    <row r="935">
      <c r="B935" s="8"/>
      <c r="F935" s="8"/>
      <c r="L935" s="8"/>
    </row>
    <row r="936">
      <c r="B936" s="8"/>
      <c r="F936" s="8"/>
      <c r="L936" s="8"/>
    </row>
    <row r="937">
      <c r="B937" s="8"/>
      <c r="F937" s="8"/>
      <c r="L937" s="8"/>
    </row>
    <row r="938">
      <c r="B938" s="8"/>
      <c r="F938" s="8"/>
      <c r="L938" s="8"/>
    </row>
    <row r="939">
      <c r="B939" s="8"/>
      <c r="F939" s="8"/>
      <c r="L939" s="8"/>
    </row>
    <row r="940">
      <c r="B940" s="8"/>
      <c r="F940" s="8"/>
      <c r="L940" s="8"/>
    </row>
    <row r="941">
      <c r="B941" s="8"/>
      <c r="F941" s="8"/>
      <c r="L941" s="8"/>
    </row>
    <row r="942">
      <c r="B942" s="8"/>
      <c r="F942" s="8"/>
      <c r="L942" s="8"/>
    </row>
    <row r="943">
      <c r="B943" s="8"/>
      <c r="F943" s="8"/>
      <c r="L943" s="8"/>
    </row>
    <row r="944">
      <c r="B944" s="8"/>
      <c r="F944" s="8"/>
      <c r="L944" s="8"/>
    </row>
    <row r="945">
      <c r="B945" s="8"/>
      <c r="F945" s="8"/>
      <c r="L945" s="8"/>
    </row>
    <row r="946">
      <c r="B946" s="8"/>
      <c r="F946" s="8"/>
      <c r="L946" s="8"/>
    </row>
    <row r="947">
      <c r="B947" s="8"/>
      <c r="F947" s="8"/>
      <c r="L947" s="8"/>
    </row>
    <row r="948">
      <c r="B948" s="8"/>
      <c r="F948" s="8"/>
      <c r="L948" s="8"/>
    </row>
    <row r="949">
      <c r="B949" s="8"/>
      <c r="F949" s="8"/>
      <c r="L949" s="8"/>
    </row>
    <row r="950">
      <c r="B950" s="8"/>
      <c r="F950" s="8"/>
      <c r="L950" s="8"/>
    </row>
    <row r="951">
      <c r="B951" s="8"/>
      <c r="F951" s="8"/>
      <c r="L951" s="8"/>
    </row>
    <row r="952">
      <c r="B952" s="8"/>
      <c r="F952" s="8"/>
      <c r="L952" s="8"/>
    </row>
    <row r="953">
      <c r="B953" s="8"/>
      <c r="F953" s="8"/>
      <c r="L953" s="8"/>
    </row>
    <row r="954">
      <c r="B954" s="8"/>
      <c r="F954" s="8"/>
      <c r="L954" s="8"/>
    </row>
    <row r="955">
      <c r="B955" s="8"/>
      <c r="F955" s="8"/>
      <c r="L955" s="8"/>
    </row>
    <row r="956">
      <c r="B956" s="8"/>
      <c r="F956" s="8"/>
      <c r="L956" s="8"/>
    </row>
    <row r="957">
      <c r="B957" s="8"/>
      <c r="F957" s="8"/>
      <c r="L957" s="8"/>
    </row>
    <row r="958">
      <c r="B958" s="8"/>
      <c r="F958" s="8"/>
      <c r="L958" s="8"/>
    </row>
    <row r="959">
      <c r="B959" s="8"/>
      <c r="F959" s="8"/>
      <c r="L959" s="8"/>
    </row>
    <row r="960">
      <c r="B960" s="8"/>
      <c r="F960" s="8"/>
      <c r="L960" s="8"/>
    </row>
    <row r="961">
      <c r="B961" s="8"/>
      <c r="F961" s="8"/>
      <c r="L961" s="8"/>
    </row>
    <row r="962">
      <c r="B962" s="8"/>
      <c r="F962" s="8"/>
      <c r="L962" s="8"/>
    </row>
    <row r="963">
      <c r="B963" s="8"/>
      <c r="F963" s="8"/>
      <c r="L963" s="8"/>
    </row>
    <row r="964">
      <c r="B964" s="8"/>
      <c r="F964" s="8"/>
      <c r="L964" s="8"/>
    </row>
    <row r="965">
      <c r="B965" s="8"/>
      <c r="F965" s="8"/>
      <c r="L965" s="8"/>
    </row>
    <row r="966">
      <c r="B966" s="8"/>
      <c r="F966" s="8"/>
      <c r="L966" s="8"/>
    </row>
    <row r="967">
      <c r="B967" s="8"/>
      <c r="F967" s="8"/>
      <c r="L967" s="8"/>
    </row>
    <row r="968">
      <c r="B968" s="8"/>
      <c r="F968" s="8"/>
      <c r="L968" s="8"/>
    </row>
    <row r="969">
      <c r="B969" s="8"/>
      <c r="F969" s="8"/>
      <c r="L969" s="8"/>
    </row>
    <row r="970">
      <c r="B970" s="8"/>
      <c r="F970" s="8"/>
      <c r="L970" s="8"/>
    </row>
    <row r="971">
      <c r="B971" s="8"/>
      <c r="F971" s="8"/>
      <c r="L971" s="8"/>
    </row>
    <row r="972">
      <c r="B972" s="8"/>
      <c r="F972" s="8"/>
      <c r="L972" s="8"/>
    </row>
    <row r="973">
      <c r="B973" s="8"/>
      <c r="F973" s="8"/>
      <c r="L973" s="8"/>
    </row>
    <row r="974">
      <c r="B974" s="8"/>
      <c r="F974" s="8"/>
      <c r="L974" s="8"/>
    </row>
    <row r="975">
      <c r="B975" s="8"/>
      <c r="F975" s="8"/>
      <c r="L975" s="8"/>
    </row>
    <row r="976">
      <c r="B976" s="8"/>
      <c r="F976" s="8"/>
      <c r="L976" s="8"/>
    </row>
    <row r="977">
      <c r="B977" s="8"/>
      <c r="F977" s="8"/>
      <c r="L977" s="8"/>
    </row>
    <row r="978">
      <c r="B978" s="8"/>
      <c r="F978" s="8"/>
      <c r="L978" s="8"/>
    </row>
    <row r="979">
      <c r="B979" s="8"/>
      <c r="F979" s="8"/>
      <c r="L979" s="8"/>
    </row>
    <row r="980">
      <c r="B980" s="8"/>
      <c r="F980" s="8"/>
      <c r="L980" s="8"/>
    </row>
    <row r="981">
      <c r="B981" s="8"/>
      <c r="F981" s="8"/>
      <c r="L981" s="8"/>
    </row>
    <row r="982">
      <c r="B982" s="8"/>
      <c r="F982" s="8"/>
      <c r="L982" s="8"/>
    </row>
    <row r="983">
      <c r="B983" s="8"/>
      <c r="F983" s="8"/>
      <c r="L983" s="8"/>
    </row>
    <row r="984">
      <c r="B984" s="8"/>
      <c r="F984" s="8"/>
      <c r="L984" s="8"/>
    </row>
    <row r="985">
      <c r="B985" s="8"/>
      <c r="F985" s="8"/>
      <c r="L985" s="8"/>
    </row>
    <row r="986">
      <c r="B986" s="8"/>
      <c r="F986" s="8"/>
      <c r="L986" s="8"/>
    </row>
    <row r="987">
      <c r="B987" s="8"/>
      <c r="F987" s="8"/>
      <c r="L987" s="8"/>
    </row>
    <row r="988">
      <c r="B988" s="8"/>
      <c r="F988" s="8"/>
      <c r="L988" s="8"/>
    </row>
    <row r="989">
      <c r="B989" s="8"/>
      <c r="F989" s="8"/>
      <c r="L989" s="8"/>
    </row>
    <row r="990">
      <c r="B990" s="8"/>
      <c r="F990" s="8"/>
      <c r="L990" s="8"/>
    </row>
    <row r="991">
      <c r="B991" s="8"/>
      <c r="F991" s="8"/>
      <c r="L991" s="8"/>
    </row>
    <row r="992">
      <c r="B992" s="8"/>
      <c r="F992" s="8"/>
      <c r="L992" s="8"/>
    </row>
    <row r="993">
      <c r="B993" s="8"/>
      <c r="F993" s="8"/>
      <c r="L993" s="8"/>
    </row>
    <row r="994">
      <c r="B994" s="8"/>
      <c r="F994" s="8"/>
      <c r="L994" s="8"/>
    </row>
    <row r="995">
      <c r="B995" s="8"/>
      <c r="F995" s="8"/>
      <c r="L995" s="8"/>
    </row>
    <row r="996">
      <c r="B996" s="8"/>
      <c r="F996" s="8"/>
      <c r="L996" s="8"/>
    </row>
    <row r="997">
      <c r="B997" s="8"/>
      <c r="F997" s="8"/>
      <c r="L997" s="8"/>
    </row>
    <row r="998">
      <c r="B998" s="8"/>
      <c r="F998" s="8"/>
      <c r="L998" s="8"/>
    </row>
    <row r="999">
      <c r="B999" s="8"/>
      <c r="F999" s="8"/>
      <c r="L999" s="8"/>
    </row>
    <row r="1000">
      <c r="B1000" s="8"/>
      <c r="F1000" s="8"/>
      <c r="L1000" s="8"/>
    </row>
    <row r="1001">
      <c r="B1001" s="8"/>
      <c r="F1001" s="8"/>
      <c r="L1001" s="8"/>
    </row>
    <row r="1002">
      <c r="B1002" s="8"/>
      <c r="F1002" s="8"/>
      <c r="L1002" s="8"/>
    </row>
    <row r="1003">
      <c r="B1003" s="8"/>
      <c r="F1003" s="8"/>
      <c r="L1003" s="8"/>
    </row>
    <row r="1004">
      <c r="B1004" s="8"/>
      <c r="F1004" s="8"/>
      <c r="L1004" s="8"/>
    </row>
    <row r="1005">
      <c r="B1005" s="8"/>
      <c r="F1005" s="8"/>
      <c r="L1005" s="8"/>
    </row>
    <row r="1006">
      <c r="B1006" s="8"/>
      <c r="F1006" s="8"/>
      <c r="L1006" s="8"/>
    </row>
    <row r="1007">
      <c r="B1007" s="8"/>
      <c r="F1007" s="8"/>
      <c r="L1007" s="8"/>
    </row>
    <row r="1008">
      <c r="B1008" s="8"/>
      <c r="F1008" s="8"/>
      <c r="L1008" s="8"/>
    </row>
    <row r="1009">
      <c r="B1009" s="8"/>
      <c r="F1009" s="8"/>
      <c r="L1009" s="8"/>
    </row>
    <row r="1010">
      <c r="B1010" s="8"/>
      <c r="F1010" s="8"/>
      <c r="L1010" s="8"/>
    </row>
    <row r="1011">
      <c r="B1011" s="8"/>
      <c r="F1011" s="8"/>
      <c r="L1011" s="8"/>
    </row>
    <row r="1012">
      <c r="B1012" s="8"/>
      <c r="F1012" s="8"/>
      <c r="L1012" s="8"/>
    </row>
    <row r="1013">
      <c r="B1013" s="8"/>
      <c r="F1013" s="8"/>
      <c r="L1013" s="8"/>
    </row>
    <row r="1014">
      <c r="B1014" s="8"/>
      <c r="F1014" s="8"/>
      <c r="L1014" s="8"/>
    </row>
    <row r="1015">
      <c r="B1015" s="8"/>
      <c r="F1015" s="8"/>
      <c r="L1015" s="8"/>
    </row>
    <row r="1016">
      <c r="B1016" s="8"/>
      <c r="F1016" s="8"/>
      <c r="L1016" s="8"/>
    </row>
    <row r="1017">
      <c r="B1017" s="8"/>
      <c r="F1017" s="8"/>
      <c r="L1017" s="8"/>
    </row>
  </sheetData>
  <drawing r:id="rId4"/>
  <legacyDrawing r:id="rId5"/>
  <tableParts count="3"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75"/>
    <col customWidth="1" min="3" max="3" width="14.38"/>
    <col customWidth="1" min="7" max="7" width="15.25"/>
    <col customWidth="1" min="8" max="8" width="16.88"/>
  </cols>
  <sheetData>
    <row r="1">
      <c r="A1" s="2" t="s">
        <v>573</v>
      </c>
      <c r="B1" s="8"/>
      <c r="C1" s="2" t="s">
        <v>574</v>
      </c>
      <c r="D1" s="2" t="s">
        <v>575</v>
      </c>
      <c r="E1" s="2" t="s">
        <v>576</v>
      </c>
      <c r="F1" s="2" t="s">
        <v>239</v>
      </c>
      <c r="G1" s="2" t="s">
        <v>379</v>
      </c>
      <c r="H1" s="7" t="s">
        <v>577</v>
      </c>
    </row>
    <row r="2">
      <c r="A2" s="64" t="s">
        <v>578</v>
      </c>
      <c r="B2" s="7">
        <v>1044.0</v>
      </c>
      <c r="C2" s="2" t="s">
        <v>241</v>
      </c>
      <c r="D2" s="2" t="s">
        <v>241</v>
      </c>
      <c r="E2" s="2" t="s">
        <v>241</v>
      </c>
      <c r="F2" s="2" t="b">
        <v>1</v>
      </c>
      <c r="G2" s="2" t="s">
        <v>33</v>
      </c>
      <c r="H2" s="8">
        <f t="shared" ref="H2:H50" si="1">B2*0.9</f>
        <v>939.6</v>
      </c>
    </row>
    <row r="3">
      <c r="A3" s="64" t="s">
        <v>579</v>
      </c>
      <c r="B3" s="7">
        <v>1500.0</v>
      </c>
      <c r="C3" s="2" t="s">
        <v>241</v>
      </c>
      <c r="D3" s="2" t="s">
        <v>241</v>
      </c>
      <c r="E3" s="2" t="s">
        <v>241</v>
      </c>
      <c r="F3" s="2" t="b">
        <v>1</v>
      </c>
      <c r="G3" s="2" t="s">
        <v>33</v>
      </c>
      <c r="H3" s="8">
        <f t="shared" si="1"/>
        <v>1350</v>
      </c>
    </row>
    <row r="4">
      <c r="A4" s="64" t="s">
        <v>580</v>
      </c>
      <c r="B4" s="7">
        <v>2500.0</v>
      </c>
      <c r="C4" s="2" t="s">
        <v>241</v>
      </c>
      <c r="D4" s="2" t="s">
        <v>241</v>
      </c>
      <c r="E4" s="2" t="s">
        <v>241</v>
      </c>
      <c r="F4" s="2" t="b">
        <v>1</v>
      </c>
      <c r="G4" s="2" t="s">
        <v>33</v>
      </c>
      <c r="H4" s="8">
        <f t="shared" si="1"/>
        <v>2250</v>
      </c>
    </row>
    <row r="5">
      <c r="A5" s="64" t="s">
        <v>581</v>
      </c>
      <c r="B5" s="7">
        <v>1500.0</v>
      </c>
      <c r="C5" s="2" t="s">
        <v>241</v>
      </c>
      <c r="D5" s="2" t="s">
        <v>241</v>
      </c>
      <c r="E5" s="2" t="s">
        <v>241</v>
      </c>
      <c r="F5" s="2" t="b">
        <v>1</v>
      </c>
      <c r="G5" s="2" t="s">
        <v>33</v>
      </c>
      <c r="H5" s="8">
        <f t="shared" si="1"/>
        <v>1350</v>
      </c>
    </row>
    <row r="6">
      <c r="A6" s="64" t="s">
        <v>582</v>
      </c>
      <c r="B6" s="7">
        <v>476.0</v>
      </c>
      <c r="C6" s="2" t="s">
        <v>241</v>
      </c>
      <c r="D6" s="2" t="s">
        <v>241</v>
      </c>
      <c r="E6" s="2" t="s">
        <v>241</v>
      </c>
      <c r="F6" s="2" t="b">
        <v>1</v>
      </c>
      <c r="G6" s="2" t="s">
        <v>33</v>
      </c>
      <c r="H6" s="8">
        <f t="shared" si="1"/>
        <v>428.4</v>
      </c>
    </row>
    <row r="7">
      <c r="A7" s="64" t="s">
        <v>583</v>
      </c>
      <c r="B7" s="7">
        <v>593.0</v>
      </c>
      <c r="C7" s="2" t="s">
        <v>241</v>
      </c>
      <c r="D7" s="2" t="s">
        <v>241</v>
      </c>
      <c r="E7" s="2" t="s">
        <v>241</v>
      </c>
      <c r="F7" s="2" t="b">
        <v>1</v>
      </c>
      <c r="G7" s="2" t="s">
        <v>33</v>
      </c>
      <c r="H7" s="8">
        <f t="shared" si="1"/>
        <v>533.7</v>
      </c>
    </row>
    <row r="8">
      <c r="A8" s="64" t="s">
        <v>584</v>
      </c>
      <c r="B8" s="7">
        <v>1986.0</v>
      </c>
      <c r="C8" s="2" t="s">
        <v>241</v>
      </c>
      <c r="F8" s="2" t="b">
        <v>1</v>
      </c>
      <c r="G8" s="2" t="s">
        <v>33</v>
      </c>
      <c r="H8" s="8">
        <f t="shared" si="1"/>
        <v>1787.4</v>
      </c>
    </row>
    <row r="9">
      <c r="A9" s="64" t="s">
        <v>585</v>
      </c>
      <c r="B9" s="7">
        <v>1700.0</v>
      </c>
      <c r="C9" s="2" t="s">
        <v>241</v>
      </c>
      <c r="D9" s="2" t="s">
        <v>241</v>
      </c>
      <c r="E9" s="2" t="s">
        <v>241</v>
      </c>
      <c r="F9" s="2" t="b">
        <v>1</v>
      </c>
      <c r="G9" s="2" t="s">
        <v>33</v>
      </c>
      <c r="H9" s="8">
        <f t="shared" si="1"/>
        <v>1530</v>
      </c>
    </row>
    <row r="10">
      <c r="A10" s="64" t="s">
        <v>586</v>
      </c>
      <c r="B10" s="7">
        <v>6800.0</v>
      </c>
      <c r="C10" s="2" t="s">
        <v>241</v>
      </c>
      <c r="D10" s="2" t="s">
        <v>241</v>
      </c>
      <c r="E10" s="2" t="s">
        <v>241</v>
      </c>
      <c r="F10" s="2" t="b">
        <v>1</v>
      </c>
      <c r="G10" s="2" t="s">
        <v>110</v>
      </c>
      <c r="H10" s="8">
        <f t="shared" si="1"/>
        <v>6120</v>
      </c>
    </row>
    <row r="11">
      <c r="A11" s="64" t="s">
        <v>587</v>
      </c>
      <c r="B11" s="7">
        <f>3187+2583.99</f>
        <v>5770.99</v>
      </c>
      <c r="C11" s="2" t="s">
        <v>241</v>
      </c>
      <c r="D11" s="2" t="s">
        <v>241</v>
      </c>
      <c r="E11" s="2" t="s">
        <v>241</v>
      </c>
      <c r="F11" s="2" t="b">
        <v>1</v>
      </c>
      <c r="G11" s="2" t="s">
        <v>110</v>
      </c>
      <c r="H11" s="8">
        <f t="shared" si="1"/>
        <v>5193.891</v>
      </c>
    </row>
    <row r="12">
      <c r="A12" s="64" t="s">
        <v>588</v>
      </c>
      <c r="B12" s="7">
        <v>436.0</v>
      </c>
      <c r="C12" s="2" t="s">
        <v>241</v>
      </c>
      <c r="F12" s="2" t="b">
        <v>1</v>
      </c>
      <c r="G12" s="2" t="s">
        <v>33</v>
      </c>
      <c r="H12" s="8">
        <f t="shared" si="1"/>
        <v>392.4</v>
      </c>
    </row>
    <row r="13">
      <c r="A13" s="64" t="s">
        <v>580</v>
      </c>
      <c r="B13" s="7">
        <v>2500.0</v>
      </c>
      <c r="C13" s="2" t="s">
        <v>241</v>
      </c>
      <c r="D13" s="2" t="s">
        <v>241</v>
      </c>
      <c r="E13" s="2" t="s">
        <v>241</v>
      </c>
      <c r="F13" s="2" t="b">
        <v>1</v>
      </c>
      <c r="G13" s="2" t="s">
        <v>33</v>
      </c>
      <c r="H13" s="8">
        <f t="shared" si="1"/>
        <v>2250</v>
      </c>
    </row>
    <row r="14">
      <c r="A14" s="64" t="s">
        <v>589</v>
      </c>
      <c r="B14" s="7">
        <v>594.3</v>
      </c>
      <c r="F14" s="2" t="b">
        <v>1</v>
      </c>
      <c r="G14" s="2" t="s">
        <v>110</v>
      </c>
      <c r="H14" s="8">
        <f t="shared" si="1"/>
        <v>534.87</v>
      </c>
    </row>
    <row r="15">
      <c r="A15" s="64" t="s">
        <v>590</v>
      </c>
      <c r="B15" s="7">
        <v>913.0</v>
      </c>
      <c r="C15" s="2" t="s">
        <v>241</v>
      </c>
      <c r="D15" s="2" t="s">
        <v>241</v>
      </c>
      <c r="E15" s="2" t="s">
        <v>241</v>
      </c>
      <c r="F15" s="2" t="b">
        <v>1</v>
      </c>
      <c r="G15" s="2" t="s">
        <v>110</v>
      </c>
      <c r="H15" s="8">
        <f t="shared" si="1"/>
        <v>821.7</v>
      </c>
    </row>
    <row r="16">
      <c r="A16" s="64" t="s">
        <v>591</v>
      </c>
      <c r="B16" s="7">
        <v>3261.21</v>
      </c>
      <c r="C16" s="2" t="s">
        <v>241</v>
      </c>
      <c r="D16" s="2" t="s">
        <v>241</v>
      </c>
      <c r="E16" s="2" t="s">
        <v>241</v>
      </c>
      <c r="F16" s="2" t="b">
        <v>1</v>
      </c>
      <c r="G16" s="2" t="s">
        <v>110</v>
      </c>
      <c r="H16" s="8">
        <f t="shared" si="1"/>
        <v>2935.089</v>
      </c>
    </row>
    <row r="17">
      <c r="A17" s="64" t="s">
        <v>592</v>
      </c>
      <c r="B17" s="7">
        <v>350.0</v>
      </c>
      <c r="C17" s="2" t="s">
        <v>241</v>
      </c>
      <c r="F17" s="2" t="b">
        <v>1</v>
      </c>
      <c r="G17" s="2" t="s">
        <v>110</v>
      </c>
      <c r="H17" s="8">
        <f t="shared" si="1"/>
        <v>315</v>
      </c>
    </row>
    <row r="18">
      <c r="A18" s="64" t="s">
        <v>593</v>
      </c>
      <c r="B18" s="7">
        <v>1500.0</v>
      </c>
      <c r="C18" s="2" t="s">
        <v>241</v>
      </c>
      <c r="D18" s="2" t="s">
        <v>241</v>
      </c>
      <c r="E18" s="2" t="s">
        <v>241</v>
      </c>
      <c r="F18" s="2" t="b">
        <v>1</v>
      </c>
      <c r="G18" s="2" t="s">
        <v>110</v>
      </c>
      <c r="H18" s="8">
        <f t="shared" si="1"/>
        <v>1350</v>
      </c>
    </row>
    <row r="19">
      <c r="A19" s="64" t="s">
        <v>594</v>
      </c>
      <c r="B19" s="7">
        <v>1236.0</v>
      </c>
      <c r="C19" s="2" t="s">
        <v>241</v>
      </c>
      <c r="D19" s="2" t="s">
        <v>241</v>
      </c>
      <c r="E19" s="2" t="s">
        <v>241</v>
      </c>
      <c r="F19" s="2" t="b">
        <v>1</v>
      </c>
      <c r="G19" s="2" t="s">
        <v>33</v>
      </c>
      <c r="H19" s="8">
        <f t="shared" si="1"/>
        <v>1112.4</v>
      </c>
    </row>
    <row r="20">
      <c r="A20" s="64" t="s">
        <v>595</v>
      </c>
      <c r="B20" s="7">
        <v>1183.0</v>
      </c>
      <c r="C20" s="2" t="s">
        <v>241</v>
      </c>
      <c r="D20" s="2" t="s">
        <v>241</v>
      </c>
      <c r="E20" s="2" t="s">
        <v>241</v>
      </c>
      <c r="F20" s="2" t="b">
        <v>1</v>
      </c>
      <c r="G20" s="2" t="s">
        <v>33</v>
      </c>
      <c r="H20" s="8">
        <f t="shared" si="1"/>
        <v>1064.7</v>
      </c>
    </row>
    <row r="21">
      <c r="A21" s="2" t="s">
        <v>423</v>
      </c>
      <c r="B21" s="7">
        <v>748.0</v>
      </c>
      <c r="C21" s="2" t="s">
        <v>241</v>
      </c>
      <c r="F21" s="2" t="b">
        <v>1</v>
      </c>
      <c r="G21" s="2" t="s">
        <v>110</v>
      </c>
      <c r="H21" s="8">
        <f t="shared" si="1"/>
        <v>673.2</v>
      </c>
    </row>
    <row r="22">
      <c r="A22" s="64" t="s">
        <v>596</v>
      </c>
      <c r="B22" s="7">
        <v>2600.0</v>
      </c>
      <c r="C22" s="2" t="s">
        <v>241</v>
      </c>
      <c r="D22" s="2" t="s">
        <v>241</v>
      </c>
      <c r="E22" s="2" t="s">
        <v>241</v>
      </c>
      <c r="F22" s="2" t="b">
        <v>1</v>
      </c>
      <c r="G22" s="2" t="s">
        <v>33</v>
      </c>
      <c r="H22" s="8">
        <f t="shared" si="1"/>
        <v>2340</v>
      </c>
    </row>
    <row r="23">
      <c r="A23" s="2" t="s">
        <v>597</v>
      </c>
      <c r="B23" s="7">
        <v>1650.0</v>
      </c>
      <c r="C23" s="2" t="s">
        <v>241</v>
      </c>
      <c r="D23" s="2" t="s">
        <v>241</v>
      </c>
      <c r="E23" s="2" t="s">
        <v>241</v>
      </c>
      <c r="F23" s="2" t="b">
        <v>1</v>
      </c>
      <c r="G23" s="2" t="s">
        <v>33</v>
      </c>
      <c r="H23" s="8">
        <f t="shared" si="1"/>
        <v>1485</v>
      </c>
    </row>
    <row r="24">
      <c r="A24" s="2" t="s">
        <v>584</v>
      </c>
      <c r="B24" s="7">
        <v>538.0</v>
      </c>
      <c r="C24" s="2" t="s">
        <v>241</v>
      </c>
      <c r="F24" s="2" t="b">
        <v>1</v>
      </c>
      <c r="G24" s="2" t="s">
        <v>33</v>
      </c>
      <c r="H24" s="8">
        <f t="shared" si="1"/>
        <v>484.2</v>
      </c>
    </row>
    <row r="25">
      <c r="A25" s="2" t="s">
        <v>598</v>
      </c>
      <c r="B25" s="7">
        <v>1028.0</v>
      </c>
      <c r="C25" s="2" t="s">
        <v>241</v>
      </c>
      <c r="F25" s="2" t="b">
        <v>1</v>
      </c>
      <c r="G25" s="2" t="s">
        <v>110</v>
      </c>
      <c r="H25" s="8">
        <f t="shared" si="1"/>
        <v>925.2</v>
      </c>
    </row>
    <row r="26">
      <c r="A26" s="2" t="s">
        <v>423</v>
      </c>
      <c r="B26" s="7">
        <v>461.0</v>
      </c>
      <c r="C26" s="7" t="s">
        <v>241</v>
      </c>
      <c r="D26" s="8"/>
      <c r="E26" s="8"/>
      <c r="F26" s="2" t="b">
        <v>1</v>
      </c>
      <c r="G26" s="2" t="s">
        <v>110</v>
      </c>
      <c r="H26" s="8">
        <f t="shared" si="1"/>
        <v>414.9</v>
      </c>
    </row>
    <row r="27">
      <c r="A27" s="2" t="s">
        <v>598</v>
      </c>
      <c r="B27" s="7">
        <v>456.0</v>
      </c>
      <c r="C27" s="2" t="s">
        <v>241</v>
      </c>
      <c r="F27" s="2" t="b">
        <v>1</v>
      </c>
      <c r="G27" s="2" t="s">
        <v>33</v>
      </c>
      <c r="H27" s="8">
        <f t="shared" si="1"/>
        <v>410.4</v>
      </c>
    </row>
    <row r="28">
      <c r="A28" s="2" t="s">
        <v>580</v>
      </c>
      <c r="B28" s="7">
        <v>2500.0</v>
      </c>
      <c r="C28" s="2" t="s">
        <v>241</v>
      </c>
      <c r="D28" s="2" t="s">
        <v>241</v>
      </c>
      <c r="E28" s="2" t="s">
        <v>241</v>
      </c>
      <c r="F28" s="2" t="b">
        <v>1</v>
      </c>
      <c r="G28" s="2" t="s">
        <v>110</v>
      </c>
      <c r="H28" s="8">
        <f t="shared" si="1"/>
        <v>2250</v>
      </c>
    </row>
    <row r="29">
      <c r="A29" s="2" t="s">
        <v>599</v>
      </c>
      <c r="B29" s="7">
        <v>600.0</v>
      </c>
      <c r="F29" s="2" t="b">
        <v>1</v>
      </c>
      <c r="G29" s="2" t="s">
        <v>13</v>
      </c>
      <c r="H29" s="8">
        <f t="shared" si="1"/>
        <v>540</v>
      </c>
    </row>
    <row r="30">
      <c r="A30" s="2" t="s">
        <v>584</v>
      </c>
      <c r="B30" s="7">
        <v>538.0</v>
      </c>
      <c r="C30" s="2" t="s">
        <v>241</v>
      </c>
      <c r="D30" s="2" t="s">
        <v>241</v>
      </c>
      <c r="E30" s="2" t="s">
        <v>241</v>
      </c>
      <c r="F30" s="2" t="b">
        <v>1</v>
      </c>
      <c r="G30" s="2" t="s">
        <v>110</v>
      </c>
      <c r="H30" s="8">
        <f t="shared" si="1"/>
        <v>484.2</v>
      </c>
    </row>
    <row r="31">
      <c r="A31" s="2" t="s">
        <v>600</v>
      </c>
      <c r="B31" s="8">
        <f>682+170</f>
        <v>852</v>
      </c>
      <c r="C31" s="2" t="s">
        <v>241</v>
      </c>
      <c r="D31" s="2" t="s">
        <v>241</v>
      </c>
      <c r="E31" s="2" t="s">
        <v>241</v>
      </c>
      <c r="F31" s="2" t="b">
        <v>1</v>
      </c>
      <c r="G31" s="2" t="s">
        <v>33</v>
      </c>
      <c r="H31" s="8">
        <f t="shared" si="1"/>
        <v>766.8</v>
      </c>
    </row>
    <row r="32">
      <c r="A32" s="2" t="s">
        <v>601</v>
      </c>
      <c r="B32" s="7">
        <v>2096.5</v>
      </c>
      <c r="C32" s="2" t="s">
        <v>241</v>
      </c>
      <c r="D32" s="2" t="s">
        <v>241</v>
      </c>
      <c r="E32" s="2" t="s">
        <v>241</v>
      </c>
      <c r="F32" s="2" t="b">
        <v>1</v>
      </c>
      <c r="G32" s="2" t="s">
        <v>110</v>
      </c>
      <c r="H32" s="8">
        <f t="shared" si="1"/>
        <v>1886.85</v>
      </c>
    </row>
    <row r="33">
      <c r="A33" s="2" t="s">
        <v>588</v>
      </c>
      <c r="B33" s="7">
        <v>436.0</v>
      </c>
      <c r="F33" s="2" t="b">
        <v>1</v>
      </c>
      <c r="G33" s="2" t="s">
        <v>110</v>
      </c>
      <c r="H33" s="8">
        <f t="shared" si="1"/>
        <v>392.4</v>
      </c>
      <c r="K33" s="105"/>
    </row>
    <row r="34">
      <c r="A34" s="2" t="s">
        <v>602</v>
      </c>
      <c r="B34" s="7">
        <v>1219.0</v>
      </c>
      <c r="C34" s="2" t="s">
        <v>241</v>
      </c>
      <c r="D34" s="2" t="s">
        <v>241</v>
      </c>
      <c r="E34" s="2" t="s">
        <v>241</v>
      </c>
      <c r="F34" s="2" t="b">
        <v>1</v>
      </c>
      <c r="G34" s="2" t="s">
        <v>110</v>
      </c>
      <c r="H34" s="8">
        <f t="shared" si="1"/>
        <v>1097.1</v>
      </c>
    </row>
    <row r="35">
      <c r="A35" s="2" t="s">
        <v>603</v>
      </c>
      <c r="B35" s="7">
        <v>359.0</v>
      </c>
      <c r="C35" s="2" t="s">
        <v>241</v>
      </c>
      <c r="F35" s="2" t="b">
        <v>1</v>
      </c>
      <c r="G35" s="2" t="s">
        <v>110</v>
      </c>
      <c r="H35" s="8">
        <f t="shared" si="1"/>
        <v>323.1</v>
      </c>
    </row>
    <row r="36">
      <c r="A36" s="2" t="s">
        <v>580</v>
      </c>
      <c r="B36" s="7">
        <v>2500.0</v>
      </c>
      <c r="C36" s="2" t="s">
        <v>241</v>
      </c>
      <c r="D36" s="2" t="s">
        <v>241</v>
      </c>
      <c r="F36" s="2" t="b">
        <v>1</v>
      </c>
      <c r="G36" s="2" t="s">
        <v>110</v>
      </c>
      <c r="H36" s="8">
        <f t="shared" si="1"/>
        <v>2250</v>
      </c>
    </row>
    <row r="37">
      <c r="A37" s="2" t="s">
        <v>585</v>
      </c>
      <c r="B37" s="7">
        <v>1700.0</v>
      </c>
      <c r="C37" s="2" t="s">
        <v>241</v>
      </c>
      <c r="D37" s="2" t="s">
        <v>241</v>
      </c>
      <c r="F37" s="2" t="b">
        <v>1</v>
      </c>
      <c r="G37" s="2" t="s">
        <v>110</v>
      </c>
      <c r="H37" s="8">
        <f t="shared" si="1"/>
        <v>1530</v>
      </c>
    </row>
    <row r="38">
      <c r="A38" s="2" t="s">
        <v>604</v>
      </c>
      <c r="B38" s="7">
        <v>2291.0</v>
      </c>
      <c r="C38" s="2" t="s">
        <v>241</v>
      </c>
      <c r="D38" s="2" t="s">
        <v>241</v>
      </c>
      <c r="F38" s="2" t="b">
        <v>1</v>
      </c>
      <c r="G38" s="2" t="s">
        <v>110</v>
      </c>
      <c r="H38" s="8">
        <f t="shared" si="1"/>
        <v>2061.9</v>
      </c>
    </row>
    <row r="39">
      <c r="A39" s="2" t="s">
        <v>605</v>
      </c>
      <c r="B39" s="7">
        <v>2577.17</v>
      </c>
      <c r="C39" s="2" t="s">
        <v>241</v>
      </c>
      <c r="F39" s="2" t="b">
        <v>1</v>
      </c>
      <c r="G39" s="2" t="s">
        <v>110</v>
      </c>
      <c r="H39" s="8">
        <f t="shared" si="1"/>
        <v>2319.453</v>
      </c>
    </row>
    <row r="40">
      <c r="A40" s="2" t="s">
        <v>606</v>
      </c>
      <c r="B40" s="7">
        <v>1300.0</v>
      </c>
      <c r="C40" s="2" t="s">
        <v>241</v>
      </c>
      <c r="F40" s="2" t="b">
        <v>1</v>
      </c>
      <c r="G40" s="2" t="s">
        <v>33</v>
      </c>
      <c r="H40" s="8">
        <f t="shared" si="1"/>
        <v>1170</v>
      </c>
    </row>
    <row r="41">
      <c r="A41" s="2" t="s">
        <v>607</v>
      </c>
      <c r="B41" s="7">
        <v>987.0</v>
      </c>
      <c r="C41" s="2" t="s">
        <v>608</v>
      </c>
      <c r="F41" s="2" t="b">
        <v>1</v>
      </c>
      <c r="G41" s="2" t="s">
        <v>110</v>
      </c>
      <c r="H41" s="8">
        <f t="shared" si="1"/>
        <v>888.3</v>
      </c>
    </row>
    <row r="42">
      <c r="A42" s="2" t="s">
        <v>609</v>
      </c>
      <c r="B42" s="7">
        <v>6247.51</v>
      </c>
      <c r="C42" s="2" t="s">
        <v>241</v>
      </c>
      <c r="F42" s="2" t="b">
        <v>1</v>
      </c>
      <c r="G42" s="2" t="s">
        <v>13</v>
      </c>
      <c r="H42" s="8">
        <f t="shared" si="1"/>
        <v>5622.759</v>
      </c>
    </row>
    <row r="43">
      <c r="A43" s="2" t="s">
        <v>580</v>
      </c>
      <c r="B43" s="7">
        <v>2800.0</v>
      </c>
      <c r="F43" s="2" t="b">
        <v>1</v>
      </c>
      <c r="G43" s="2" t="s">
        <v>110</v>
      </c>
      <c r="H43" s="8">
        <f t="shared" si="1"/>
        <v>2520</v>
      </c>
    </row>
    <row r="44">
      <c r="A44" s="2" t="s">
        <v>610</v>
      </c>
      <c r="B44" s="7">
        <v>1400.0</v>
      </c>
      <c r="C44" s="2" t="s">
        <v>608</v>
      </c>
      <c r="D44" s="2" t="s">
        <v>241</v>
      </c>
      <c r="E44" s="2" t="s">
        <v>241</v>
      </c>
      <c r="F44" s="2" t="b">
        <v>1</v>
      </c>
      <c r="G44" s="2" t="s">
        <v>110</v>
      </c>
      <c r="H44" s="8">
        <f t="shared" si="1"/>
        <v>1260</v>
      </c>
    </row>
    <row r="45">
      <c r="A45" s="2" t="s">
        <v>611</v>
      </c>
      <c r="B45" s="7">
        <v>2836.0</v>
      </c>
      <c r="C45" s="2" t="s">
        <v>241</v>
      </c>
      <c r="F45" s="2" t="b">
        <v>1</v>
      </c>
      <c r="G45" s="2" t="s">
        <v>110</v>
      </c>
      <c r="H45" s="8">
        <f t="shared" si="1"/>
        <v>2552.4</v>
      </c>
    </row>
    <row r="46">
      <c r="A46" s="2" t="s">
        <v>612</v>
      </c>
      <c r="B46" s="7">
        <v>1100.0</v>
      </c>
      <c r="F46" s="2" t="b">
        <v>0</v>
      </c>
      <c r="G46" s="2" t="s">
        <v>33</v>
      </c>
      <c r="H46" s="8">
        <f t="shared" si="1"/>
        <v>990</v>
      </c>
    </row>
    <row r="47">
      <c r="A47" s="2" t="s">
        <v>613</v>
      </c>
      <c r="B47" s="7">
        <v>2273.6</v>
      </c>
      <c r="F47" s="2" t="b">
        <v>0</v>
      </c>
      <c r="G47" s="2" t="s">
        <v>33</v>
      </c>
      <c r="H47" s="8">
        <f t="shared" si="1"/>
        <v>2046.24</v>
      </c>
    </row>
    <row r="48">
      <c r="A48" s="2" t="s">
        <v>614</v>
      </c>
      <c r="B48" s="7">
        <v>2269.0</v>
      </c>
      <c r="C48" s="2" t="s">
        <v>241</v>
      </c>
      <c r="F48" s="2" t="b">
        <v>0</v>
      </c>
      <c r="G48" s="2" t="s">
        <v>33</v>
      </c>
      <c r="H48" s="8">
        <f t="shared" si="1"/>
        <v>2042.1</v>
      </c>
    </row>
    <row r="49">
      <c r="A49" s="2" t="s">
        <v>615</v>
      </c>
      <c r="B49" s="7">
        <v>712.08</v>
      </c>
      <c r="C49" s="2" t="s">
        <v>241</v>
      </c>
      <c r="F49" s="2" t="b">
        <v>0</v>
      </c>
      <c r="G49" s="2" t="s">
        <v>33</v>
      </c>
      <c r="H49" s="8">
        <f t="shared" si="1"/>
        <v>640.872</v>
      </c>
    </row>
    <row r="50">
      <c r="A50" s="2" t="s">
        <v>585</v>
      </c>
      <c r="B50" s="7">
        <v>1700.0</v>
      </c>
      <c r="C50" s="2" t="s">
        <v>241</v>
      </c>
      <c r="F50" s="2" t="b">
        <v>1</v>
      </c>
      <c r="G50" s="2" t="s">
        <v>110</v>
      </c>
      <c r="H50" s="8">
        <f t="shared" si="1"/>
        <v>1530</v>
      </c>
    </row>
    <row r="52">
      <c r="A52" s="2" t="s">
        <v>580</v>
      </c>
      <c r="B52" s="7">
        <v>2800.0</v>
      </c>
      <c r="C52" s="2" t="s">
        <v>241</v>
      </c>
      <c r="F52" s="2" t="b">
        <v>1</v>
      </c>
      <c r="G52" s="2" t="s">
        <v>110</v>
      </c>
      <c r="H52" s="8">
        <f>B52*0.9</f>
        <v>2520</v>
      </c>
    </row>
    <row r="53">
      <c r="H53" s="8"/>
    </row>
    <row r="54">
      <c r="B54" s="8"/>
      <c r="H54" s="8"/>
    </row>
    <row r="55">
      <c r="B55" s="8"/>
      <c r="H55" s="8"/>
    </row>
    <row r="56">
      <c r="B56" s="8"/>
      <c r="H56" s="8"/>
    </row>
    <row r="57">
      <c r="B57" s="8"/>
      <c r="H57" s="8"/>
    </row>
    <row r="58">
      <c r="B58" s="8"/>
      <c r="C58" s="2" t="s">
        <v>396</v>
      </c>
      <c r="D58" s="7" t="s">
        <v>397</v>
      </c>
      <c r="H58" s="8">
        <f>712.08+237.2+1499+2000+146+79+398</f>
        <v>5071.28</v>
      </c>
    </row>
    <row r="59">
      <c r="B59" s="7" t="s">
        <v>110</v>
      </c>
      <c r="C59" s="8">
        <f>SUMIF(G2:G38,B59,B2:B58)</f>
        <v>35066</v>
      </c>
      <c r="D59" s="8">
        <f>SUMIFS(B2:B56,F2:F56,false,G2:G56,B59)</f>
        <v>0</v>
      </c>
      <c r="H59" s="8">
        <f>7334.12-H58</f>
        <v>2262.84</v>
      </c>
    </row>
    <row r="60">
      <c r="B60" s="7" t="s">
        <v>33</v>
      </c>
      <c r="C60" s="8">
        <f>SUMIF(G2:G31,B60,B2:B58)</f>
        <v>22750</v>
      </c>
      <c r="D60" s="8">
        <f t="shared" ref="D60:D61" si="2">SUMIFS(B3:B56,F3:F56,false,G3:G56,B60)</f>
        <v>6354.68</v>
      </c>
      <c r="H60" s="8"/>
    </row>
    <row r="61">
      <c r="B61" s="7" t="s">
        <v>13</v>
      </c>
      <c r="C61" s="8">
        <f>SUMIF(G2:G56,B61,B2:B56)</f>
        <v>6847.51</v>
      </c>
      <c r="D61" s="8">
        <f t="shared" si="2"/>
        <v>0</v>
      </c>
      <c r="H61" s="8"/>
    </row>
    <row r="62">
      <c r="B62" s="8"/>
      <c r="H62" s="8"/>
      <c r="I62" s="23">
        <f>7334.12-2273.6</f>
        <v>5060.52</v>
      </c>
    </row>
    <row r="63">
      <c r="B63" s="8"/>
      <c r="H63" s="8"/>
    </row>
    <row r="64">
      <c r="B64" s="8"/>
      <c r="C64" s="8">
        <f>SUM(C59:C63)</f>
        <v>64663.51</v>
      </c>
      <c r="H64" s="8"/>
    </row>
    <row r="65">
      <c r="B65" s="8"/>
      <c r="H65" s="8"/>
    </row>
    <row r="66">
      <c r="B66" s="8"/>
      <c r="H66" s="8"/>
    </row>
    <row r="67">
      <c r="B67" s="8"/>
      <c r="H67" s="8"/>
    </row>
    <row r="68">
      <c r="B68" s="8"/>
      <c r="H68" s="8"/>
    </row>
    <row r="69">
      <c r="B69" s="8"/>
      <c r="H69" s="8"/>
    </row>
    <row r="70">
      <c r="B70" s="8"/>
      <c r="H70" s="8"/>
    </row>
    <row r="71">
      <c r="B71" s="8"/>
      <c r="H71" s="8"/>
    </row>
    <row r="72">
      <c r="B72" s="8"/>
      <c r="H72" s="8"/>
    </row>
    <row r="73">
      <c r="B73" s="8"/>
      <c r="H73" s="8"/>
    </row>
    <row r="74">
      <c r="B74" s="8"/>
      <c r="H74" s="8"/>
    </row>
    <row r="75">
      <c r="B75" s="8"/>
      <c r="H75" s="8"/>
    </row>
    <row r="76">
      <c r="B76" s="8"/>
      <c r="H76" s="8"/>
    </row>
    <row r="77">
      <c r="B77" s="8"/>
      <c r="H77" s="8"/>
    </row>
    <row r="78">
      <c r="B78" s="8"/>
      <c r="H78" s="8"/>
    </row>
    <row r="79">
      <c r="B79" s="8"/>
      <c r="H79" s="8"/>
    </row>
    <row r="80">
      <c r="B80" s="8"/>
      <c r="H80" s="8"/>
    </row>
    <row r="81">
      <c r="B81" s="8"/>
      <c r="H81" s="8"/>
    </row>
    <row r="82">
      <c r="B82" s="8"/>
      <c r="H82" s="8"/>
    </row>
    <row r="83">
      <c r="B83" s="8"/>
      <c r="H83" s="8"/>
    </row>
    <row r="84">
      <c r="B84" s="8"/>
      <c r="H84" s="8"/>
    </row>
    <row r="85">
      <c r="B85" s="8"/>
      <c r="H85" s="8"/>
    </row>
    <row r="86">
      <c r="B86" s="8"/>
      <c r="H86" s="8"/>
    </row>
    <row r="87">
      <c r="B87" s="8"/>
      <c r="H87" s="8"/>
    </row>
    <row r="88">
      <c r="B88" s="8"/>
      <c r="H88" s="8"/>
    </row>
    <row r="89">
      <c r="B89" s="8"/>
      <c r="H89" s="8"/>
    </row>
    <row r="90">
      <c r="B90" s="8"/>
      <c r="H90" s="8"/>
    </row>
    <row r="91">
      <c r="B91" s="8"/>
      <c r="H91" s="8"/>
    </row>
    <row r="92">
      <c r="B92" s="8"/>
      <c r="H92" s="8"/>
    </row>
    <row r="93">
      <c r="B93" s="8"/>
      <c r="H93" s="8"/>
    </row>
    <row r="94">
      <c r="B94" s="8"/>
      <c r="H94" s="8"/>
    </row>
    <row r="95">
      <c r="B95" s="8"/>
      <c r="H95" s="8"/>
    </row>
    <row r="96">
      <c r="B96" s="8"/>
      <c r="H96" s="8"/>
    </row>
    <row r="97">
      <c r="B97" s="8"/>
      <c r="H97" s="8"/>
    </row>
    <row r="98">
      <c r="B98" s="8"/>
      <c r="H98" s="8"/>
    </row>
    <row r="99">
      <c r="B99" s="8"/>
      <c r="H99" s="8"/>
    </row>
    <row r="100">
      <c r="B100" s="8"/>
      <c r="H100" s="8"/>
    </row>
    <row r="101">
      <c r="B101" s="8"/>
      <c r="H101" s="8"/>
    </row>
    <row r="102">
      <c r="B102" s="8"/>
      <c r="H102" s="8"/>
    </row>
    <row r="103">
      <c r="B103" s="8"/>
      <c r="H103" s="8"/>
    </row>
    <row r="104">
      <c r="B104" s="8"/>
      <c r="H104" s="8"/>
    </row>
    <row r="105">
      <c r="B105" s="8"/>
      <c r="H105" s="8"/>
    </row>
    <row r="106">
      <c r="B106" s="8"/>
      <c r="H106" s="8"/>
    </row>
    <row r="107">
      <c r="B107" s="8"/>
      <c r="H107" s="8"/>
    </row>
    <row r="108">
      <c r="B108" s="8"/>
      <c r="H108" s="8"/>
    </row>
    <row r="109">
      <c r="B109" s="8"/>
      <c r="H109" s="8"/>
    </row>
    <row r="110">
      <c r="B110" s="8"/>
      <c r="H110" s="8"/>
    </row>
    <row r="111">
      <c r="B111" s="8"/>
      <c r="H111" s="8"/>
    </row>
    <row r="112">
      <c r="B112" s="8"/>
      <c r="H112" s="8"/>
    </row>
    <row r="113">
      <c r="B113" s="8"/>
      <c r="H113" s="8"/>
    </row>
    <row r="114">
      <c r="B114" s="8"/>
      <c r="H114" s="8"/>
    </row>
    <row r="115">
      <c r="B115" s="8"/>
      <c r="H115" s="8"/>
    </row>
    <row r="116">
      <c r="B116" s="8"/>
      <c r="H116" s="8"/>
    </row>
    <row r="117">
      <c r="B117" s="8"/>
      <c r="H117" s="8"/>
    </row>
    <row r="118">
      <c r="B118" s="8"/>
      <c r="H118" s="8"/>
    </row>
    <row r="119">
      <c r="B119" s="8"/>
      <c r="H119" s="8"/>
    </row>
    <row r="120">
      <c r="B120" s="8"/>
      <c r="H120" s="8"/>
    </row>
    <row r="121">
      <c r="B121" s="8"/>
      <c r="H121" s="8"/>
    </row>
    <row r="122">
      <c r="B122" s="8"/>
      <c r="H122" s="8"/>
    </row>
    <row r="123">
      <c r="B123" s="8"/>
      <c r="H123" s="8"/>
    </row>
    <row r="124">
      <c r="B124" s="8"/>
      <c r="H124" s="8"/>
    </row>
    <row r="125">
      <c r="B125" s="8"/>
      <c r="H125" s="8"/>
    </row>
    <row r="126">
      <c r="B126" s="8"/>
      <c r="H126" s="8"/>
    </row>
    <row r="127">
      <c r="B127" s="8"/>
      <c r="H127" s="8"/>
    </row>
    <row r="128">
      <c r="B128" s="8"/>
      <c r="H128" s="8"/>
    </row>
    <row r="129">
      <c r="B129" s="8"/>
      <c r="H129" s="8"/>
    </row>
    <row r="130">
      <c r="B130" s="8"/>
      <c r="H130" s="8"/>
    </row>
    <row r="131">
      <c r="B131" s="8"/>
      <c r="H131" s="8"/>
    </row>
    <row r="132">
      <c r="B132" s="8"/>
      <c r="H132" s="8"/>
    </row>
    <row r="133">
      <c r="B133" s="8"/>
      <c r="H133" s="8"/>
    </row>
    <row r="134">
      <c r="B134" s="8"/>
      <c r="H134" s="8"/>
    </row>
    <row r="135">
      <c r="B135" s="8"/>
      <c r="H135" s="8"/>
    </row>
    <row r="136">
      <c r="B136" s="8"/>
      <c r="H136" s="8"/>
    </row>
    <row r="137">
      <c r="B137" s="8"/>
      <c r="H137" s="8"/>
    </row>
    <row r="138">
      <c r="B138" s="8"/>
      <c r="H138" s="8"/>
    </row>
    <row r="139">
      <c r="B139" s="8"/>
      <c r="H139" s="8"/>
    </row>
    <row r="140">
      <c r="B140" s="8"/>
      <c r="H140" s="8"/>
    </row>
    <row r="141">
      <c r="B141" s="8"/>
      <c r="H141" s="8"/>
    </row>
    <row r="142">
      <c r="B142" s="8"/>
      <c r="H142" s="8"/>
    </row>
    <row r="143">
      <c r="B143" s="8"/>
      <c r="H143" s="8"/>
    </row>
    <row r="144">
      <c r="B144" s="8"/>
      <c r="H144" s="8"/>
    </row>
    <row r="145">
      <c r="B145" s="8"/>
      <c r="H145" s="8"/>
    </row>
    <row r="146">
      <c r="B146" s="8"/>
      <c r="H146" s="8"/>
    </row>
    <row r="147">
      <c r="B147" s="8"/>
      <c r="H147" s="8"/>
    </row>
    <row r="148">
      <c r="B148" s="8"/>
      <c r="H148" s="8"/>
    </row>
    <row r="149">
      <c r="B149" s="8"/>
      <c r="H149" s="8"/>
    </row>
    <row r="150">
      <c r="B150" s="8"/>
      <c r="H150" s="8"/>
    </row>
    <row r="151">
      <c r="B151" s="8"/>
      <c r="H151" s="8"/>
    </row>
    <row r="152">
      <c r="B152" s="8"/>
      <c r="H152" s="8"/>
    </row>
    <row r="153">
      <c r="B153" s="8"/>
      <c r="H153" s="8"/>
    </row>
    <row r="154">
      <c r="B154" s="8"/>
      <c r="H154" s="8"/>
    </row>
    <row r="155">
      <c r="B155" s="8"/>
      <c r="H155" s="8"/>
    </row>
    <row r="156">
      <c r="B156" s="8"/>
      <c r="H156" s="8"/>
    </row>
    <row r="157">
      <c r="B157" s="8"/>
      <c r="H157" s="8"/>
    </row>
    <row r="158">
      <c r="B158" s="8"/>
      <c r="H158" s="8"/>
    </row>
    <row r="159">
      <c r="B159" s="8"/>
      <c r="H159" s="8"/>
    </row>
    <row r="160">
      <c r="B160" s="8"/>
      <c r="H160" s="8"/>
    </row>
    <row r="161">
      <c r="B161" s="8"/>
      <c r="H161" s="8"/>
    </row>
    <row r="162">
      <c r="B162" s="8"/>
      <c r="H162" s="8"/>
    </row>
    <row r="163">
      <c r="B163" s="8"/>
      <c r="H163" s="8"/>
    </row>
    <row r="164">
      <c r="B164" s="8"/>
      <c r="H164" s="8"/>
    </row>
    <row r="165">
      <c r="B165" s="8"/>
      <c r="H165" s="8"/>
    </row>
    <row r="166">
      <c r="B166" s="8"/>
      <c r="H166" s="8"/>
    </row>
    <row r="167">
      <c r="B167" s="8"/>
      <c r="H167" s="8"/>
    </row>
    <row r="168">
      <c r="B168" s="8"/>
      <c r="H168" s="8"/>
    </row>
    <row r="169">
      <c r="B169" s="8"/>
      <c r="H169" s="8"/>
    </row>
    <row r="170">
      <c r="B170" s="8"/>
      <c r="H170" s="8"/>
    </row>
    <row r="171">
      <c r="B171" s="8"/>
      <c r="H171" s="8"/>
    </row>
    <row r="172">
      <c r="B172" s="8"/>
      <c r="H172" s="8"/>
    </row>
    <row r="173">
      <c r="B173" s="8"/>
      <c r="H173" s="8"/>
    </row>
    <row r="174">
      <c r="B174" s="8"/>
      <c r="H174" s="8"/>
    </row>
    <row r="175">
      <c r="B175" s="8"/>
      <c r="H175" s="8"/>
    </row>
    <row r="176">
      <c r="B176" s="8"/>
      <c r="H176" s="8"/>
    </row>
    <row r="177">
      <c r="B177" s="8"/>
      <c r="H177" s="8"/>
    </row>
    <row r="178">
      <c r="B178" s="8"/>
      <c r="H178" s="8"/>
    </row>
    <row r="179">
      <c r="B179" s="8"/>
      <c r="H179" s="8"/>
    </row>
    <row r="180">
      <c r="B180" s="8"/>
      <c r="H180" s="8"/>
    </row>
    <row r="181">
      <c r="B181" s="8"/>
      <c r="H181" s="8"/>
    </row>
    <row r="182">
      <c r="B182" s="8"/>
      <c r="H182" s="8"/>
    </row>
    <row r="183">
      <c r="B183" s="8"/>
      <c r="H183" s="8"/>
    </row>
    <row r="184">
      <c r="B184" s="8"/>
      <c r="H184" s="8"/>
    </row>
    <row r="185">
      <c r="B185" s="8"/>
      <c r="H185" s="8"/>
    </row>
    <row r="186">
      <c r="B186" s="8"/>
      <c r="H186" s="8"/>
    </row>
    <row r="187">
      <c r="B187" s="8"/>
      <c r="H187" s="8"/>
    </row>
    <row r="188">
      <c r="B188" s="8"/>
      <c r="H188" s="8"/>
    </row>
    <row r="189">
      <c r="B189" s="8"/>
      <c r="H189" s="8"/>
    </row>
    <row r="190">
      <c r="B190" s="8"/>
      <c r="H190" s="8"/>
    </row>
    <row r="191">
      <c r="B191" s="8"/>
      <c r="H191" s="8"/>
    </row>
    <row r="192">
      <c r="B192" s="8"/>
      <c r="H192" s="8"/>
    </row>
    <row r="193">
      <c r="B193" s="8"/>
      <c r="H193" s="8"/>
    </row>
    <row r="194">
      <c r="B194" s="8"/>
      <c r="H194" s="8"/>
    </row>
    <row r="195">
      <c r="B195" s="8"/>
      <c r="H195" s="8"/>
    </row>
    <row r="196">
      <c r="B196" s="8"/>
      <c r="H196" s="8"/>
    </row>
    <row r="197">
      <c r="B197" s="8"/>
      <c r="H197" s="8"/>
    </row>
    <row r="198">
      <c r="B198" s="8"/>
      <c r="H198" s="8"/>
    </row>
    <row r="199">
      <c r="B199" s="8"/>
      <c r="H199" s="8"/>
    </row>
    <row r="200">
      <c r="B200" s="8"/>
      <c r="H200" s="8"/>
    </row>
    <row r="201">
      <c r="B201" s="8"/>
      <c r="H201" s="8"/>
    </row>
    <row r="202">
      <c r="B202" s="8"/>
      <c r="H202" s="8"/>
    </row>
    <row r="203">
      <c r="B203" s="8"/>
      <c r="H203" s="8"/>
    </row>
    <row r="204">
      <c r="B204" s="8"/>
      <c r="H204" s="8"/>
    </row>
    <row r="205">
      <c r="B205" s="8"/>
      <c r="H205" s="8"/>
    </row>
    <row r="206">
      <c r="B206" s="8"/>
      <c r="H206" s="8"/>
    </row>
    <row r="207">
      <c r="B207" s="8"/>
      <c r="H207" s="8"/>
    </row>
    <row r="208">
      <c r="B208" s="8"/>
      <c r="H208" s="8"/>
    </row>
    <row r="209">
      <c r="B209" s="8"/>
      <c r="H209" s="8"/>
    </row>
    <row r="210">
      <c r="B210" s="8"/>
      <c r="H210" s="8"/>
    </row>
    <row r="211">
      <c r="B211" s="8"/>
      <c r="H211" s="8"/>
    </row>
    <row r="212">
      <c r="B212" s="8"/>
      <c r="H212" s="8"/>
    </row>
    <row r="213">
      <c r="B213" s="8"/>
      <c r="H213" s="8"/>
    </row>
    <row r="214">
      <c r="B214" s="8"/>
      <c r="H214" s="8"/>
    </row>
    <row r="215">
      <c r="B215" s="8"/>
      <c r="H215" s="8"/>
    </row>
    <row r="216">
      <c r="B216" s="8"/>
      <c r="H216" s="8"/>
    </row>
    <row r="217">
      <c r="B217" s="8"/>
      <c r="H217" s="8"/>
    </row>
    <row r="218">
      <c r="B218" s="8"/>
      <c r="H218" s="8"/>
    </row>
    <row r="219">
      <c r="B219" s="8"/>
      <c r="H219" s="8"/>
    </row>
    <row r="220">
      <c r="B220" s="8"/>
      <c r="H220" s="8"/>
    </row>
    <row r="221">
      <c r="B221" s="8"/>
      <c r="H221" s="8"/>
    </row>
    <row r="222">
      <c r="B222" s="8"/>
      <c r="H222" s="8"/>
    </row>
    <row r="223">
      <c r="B223" s="8"/>
      <c r="H223" s="8"/>
    </row>
    <row r="224">
      <c r="B224" s="8"/>
      <c r="H224" s="8"/>
    </row>
    <row r="225">
      <c r="B225" s="8"/>
      <c r="H225" s="8"/>
    </row>
    <row r="226">
      <c r="B226" s="8"/>
      <c r="H226" s="8"/>
    </row>
    <row r="227">
      <c r="B227" s="8"/>
      <c r="H227" s="8"/>
    </row>
    <row r="228">
      <c r="B228" s="8"/>
      <c r="H228" s="8"/>
    </row>
    <row r="229">
      <c r="B229" s="8"/>
      <c r="H229" s="8"/>
    </row>
    <row r="230">
      <c r="B230" s="8"/>
      <c r="H230" s="8"/>
    </row>
    <row r="231">
      <c r="B231" s="8"/>
      <c r="H231" s="8"/>
    </row>
    <row r="232">
      <c r="B232" s="8"/>
      <c r="H232" s="8"/>
    </row>
    <row r="233">
      <c r="B233" s="8"/>
      <c r="H233" s="8"/>
    </row>
    <row r="234">
      <c r="B234" s="8"/>
      <c r="H234" s="8"/>
    </row>
    <row r="235">
      <c r="B235" s="8"/>
      <c r="H235" s="8"/>
    </row>
    <row r="236">
      <c r="B236" s="8"/>
      <c r="H236" s="8"/>
    </row>
    <row r="237">
      <c r="B237" s="8"/>
      <c r="H237" s="8"/>
    </row>
    <row r="238">
      <c r="B238" s="8"/>
      <c r="H238" s="8"/>
    </row>
    <row r="239">
      <c r="B239" s="8"/>
      <c r="H239" s="8"/>
    </row>
    <row r="240">
      <c r="B240" s="8"/>
      <c r="H240" s="8"/>
    </row>
    <row r="241">
      <c r="B241" s="8"/>
      <c r="H241" s="8"/>
    </row>
    <row r="242">
      <c r="B242" s="8"/>
      <c r="H242" s="8"/>
    </row>
    <row r="243">
      <c r="B243" s="8"/>
      <c r="H243" s="8"/>
    </row>
    <row r="244">
      <c r="B244" s="8"/>
      <c r="H244" s="8"/>
    </row>
    <row r="245">
      <c r="B245" s="8"/>
      <c r="H245" s="8"/>
    </row>
    <row r="246">
      <c r="B246" s="8"/>
      <c r="H246" s="8"/>
    </row>
    <row r="247">
      <c r="B247" s="8"/>
      <c r="H247" s="8"/>
    </row>
    <row r="248">
      <c r="B248" s="8"/>
      <c r="H248" s="8"/>
    </row>
    <row r="249">
      <c r="B249" s="8"/>
      <c r="H249" s="8"/>
    </row>
    <row r="250">
      <c r="B250" s="8"/>
      <c r="H250" s="8"/>
    </row>
    <row r="251">
      <c r="B251" s="8"/>
      <c r="H251" s="8"/>
    </row>
    <row r="252">
      <c r="B252" s="8"/>
      <c r="H252" s="8"/>
    </row>
    <row r="253">
      <c r="B253" s="8"/>
      <c r="H253" s="8"/>
    </row>
    <row r="254">
      <c r="B254" s="8"/>
      <c r="H254" s="8"/>
    </row>
    <row r="255">
      <c r="B255" s="8"/>
      <c r="H255" s="8"/>
    </row>
    <row r="256">
      <c r="B256" s="8"/>
      <c r="H256" s="8"/>
    </row>
    <row r="257">
      <c r="B257" s="8"/>
      <c r="H257" s="8"/>
    </row>
    <row r="258">
      <c r="B258" s="8"/>
      <c r="H258" s="8"/>
    </row>
    <row r="259">
      <c r="B259" s="8"/>
      <c r="H259" s="8"/>
    </row>
    <row r="260">
      <c r="B260" s="8"/>
      <c r="H260" s="8"/>
    </row>
    <row r="261">
      <c r="B261" s="8"/>
      <c r="H261" s="8"/>
    </row>
    <row r="262">
      <c r="B262" s="8"/>
      <c r="H262" s="8"/>
    </row>
    <row r="263">
      <c r="B263" s="8"/>
      <c r="H263" s="8"/>
    </row>
    <row r="264">
      <c r="B264" s="8"/>
      <c r="H264" s="8"/>
    </row>
    <row r="265">
      <c r="B265" s="8"/>
      <c r="H265" s="8"/>
    </row>
    <row r="266">
      <c r="B266" s="8"/>
      <c r="H266" s="8"/>
    </row>
    <row r="267">
      <c r="B267" s="8"/>
      <c r="H267" s="8"/>
    </row>
    <row r="268">
      <c r="B268" s="8"/>
      <c r="H268" s="8"/>
    </row>
    <row r="269">
      <c r="B269" s="8"/>
      <c r="H269" s="8"/>
    </row>
    <row r="270">
      <c r="B270" s="8"/>
      <c r="H270" s="8"/>
    </row>
    <row r="271">
      <c r="B271" s="8"/>
      <c r="H271" s="8"/>
    </row>
    <row r="272">
      <c r="B272" s="8"/>
      <c r="H272" s="8"/>
    </row>
    <row r="273">
      <c r="B273" s="8"/>
      <c r="H273" s="8"/>
    </row>
    <row r="274">
      <c r="B274" s="8"/>
      <c r="H274" s="8"/>
    </row>
    <row r="275">
      <c r="B275" s="8"/>
      <c r="H275" s="8"/>
    </row>
    <row r="276">
      <c r="B276" s="8"/>
      <c r="H276" s="8"/>
    </row>
    <row r="277">
      <c r="B277" s="8"/>
      <c r="H277" s="8"/>
    </row>
    <row r="278">
      <c r="B278" s="8"/>
      <c r="H278" s="8"/>
    </row>
    <row r="279">
      <c r="B279" s="8"/>
      <c r="H279" s="8"/>
    </row>
    <row r="280">
      <c r="B280" s="8"/>
      <c r="H280" s="8"/>
    </row>
    <row r="281">
      <c r="B281" s="8"/>
      <c r="H281" s="8"/>
    </row>
    <row r="282">
      <c r="B282" s="8"/>
      <c r="H282" s="8"/>
    </row>
    <row r="283">
      <c r="B283" s="8"/>
      <c r="H283" s="8"/>
    </row>
    <row r="284">
      <c r="B284" s="8"/>
      <c r="H284" s="8"/>
    </row>
    <row r="285">
      <c r="B285" s="8"/>
      <c r="H285" s="8"/>
    </row>
    <row r="286">
      <c r="B286" s="8"/>
      <c r="H286" s="8"/>
    </row>
    <row r="287">
      <c r="B287" s="8"/>
      <c r="H287" s="8"/>
    </row>
    <row r="288">
      <c r="B288" s="8"/>
      <c r="H288" s="8"/>
    </row>
    <row r="289">
      <c r="B289" s="8"/>
      <c r="H289" s="8"/>
    </row>
    <row r="290">
      <c r="B290" s="8"/>
      <c r="H290" s="8"/>
    </row>
    <row r="291">
      <c r="B291" s="8"/>
      <c r="H291" s="8"/>
    </row>
    <row r="292">
      <c r="B292" s="8"/>
      <c r="H292" s="8"/>
    </row>
    <row r="293">
      <c r="B293" s="8"/>
      <c r="H293" s="8"/>
    </row>
    <row r="294">
      <c r="B294" s="8"/>
      <c r="H294" s="8"/>
    </row>
    <row r="295">
      <c r="B295" s="8"/>
      <c r="H295" s="8"/>
    </row>
    <row r="296">
      <c r="B296" s="8"/>
      <c r="H296" s="8"/>
    </row>
    <row r="297">
      <c r="B297" s="8"/>
      <c r="H297" s="8"/>
    </row>
    <row r="298">
      <c r="B298" s="8"/>
      <c r="H298" s="8"/>
    </row>
    <row r="299">
      <c r="B299" s="8"/>
      <c r="H299" s="8"/>
    </row>
    <row r="300">
      <c r="B300" s="8"/>
      <c r="H300" s="8"/>
    </row>
    <row r="301">
      <c r="B301" s="8"/>
      <c r="H301" s="8"/>
    </row>
    <row r="302">
      <c r="B302" s="8"/>
      <c r="H302" s="8"/>
    </row>
    <row r="303">
      <c r="B303" s="8"/>
      <c r="H303" s="8"/>
    </row>
    <row r="304">
      <c r="B304" s="8"/>
      <c r="H304" s="8"/>
    </row>
    <row r="305">
      <c r="B305" s="8"/>
      <c r="H305" s="8"/>
    </row>
    <row r="306">
      <c r="B306" s="8"/>
      <c r="H306" s="8"/>
    </row>
    <row r="307">
      <c r="B307" s="8"/>
      <c r="H307" s="8"/>
    </row>
    <row r="308">
      <c r="B308" s="8"/>
      <c r="H308" s="8"/>
    </row>
    <row r="309">
      <c r="B309" s="8"/>
      <c r="H309" s="8"/>
    </row>
    <row r="310">
      <c r="B310" s="8"/>
      <c r="H310" s="8"/>
    </row>
    <row r="311">
      <c r="B311" s="8"/>
      <c r="H311" s="8"/>
    </row>
    <row r="312">
      <c r="B312" s="8"/>
      <c r="H312" s="8"/>
    </row>
    <row r="313">
      <c r="B313" s="8"/>
      <c r="H313" s="8"/>
    </row>
    <row r="314">
      <c r="B314" s="8"/>
      <c r="H314" s="8"/>
    </row>
    <row r="315">
      <c r="B315" s="8"/>
      <c r="H315" s="8"/>
    </row>
    <row r="316">
      <c r="B316" s="8"/>
      <c r="H316" s="8"/>
    </row>
    <row r="317">
      <c r="B317" s="8"/>
      <c r="H317" s="8"/>
    </row>
    <row r="318">
      <c r="B318" s="8"/>
      <c r="H318" s="8"/>
    </row>
    <row r="319">
      <c r="B319" s="8"/>
      <c r="H319" s="8"/>
    </row>
    <row r="320">
      <c r="B320" s="8"/>
      <c r="H320" s="8"/>
    </row>
    <row r="321">
      <c r="B321" s="8"/>
      <c r="H321" s="8"/>
    </row>
    <row r="322">
      <c r="B322" s="8"/>
      <c r="H322" s="8"/>
    </row>
    <row r="323">
      <c r="B323" s="8"/>
      <c r="H323" s="8"/>
    </row>
    <row r="324">
      <c r="B324" s="8"/>
      <c r="H324" s="8"/>
    </row>
    <row r="325">
      <c r="B325" s="8"/>
      <c r="H325" s="8"/>
    </row>
    <row r="326">
      <c r="B326" s="8"/>
      <c r="H326" s="8"/>
    </row>
    <row r="327">
      <c r="B327" s="8"/>
      <c r="H327" s="8"/>
    </row>
    <row r="328">
      <c r="B328" s="8"/>
      <c r="H328" s="8"/>
    </row>
    <row r="329">
      <c r="B329" s="8"/>
      <c r="H329" s="8"/>
    </row>
    <row r="330">
      <c r="B330" s="8"/>
      <c r="H330" s="8"/>
    </row>
    <row r="331">
      <c r="B331" s="8"/>
      <c r="H331" s="8"/>
    </row>
    <row r="332">
      <c r="B332" s="8"/>
      <c r="H332" s="8"/>
    </row>
    <row r="333">
      <c r="B333" s="8"/>
      <c r="H333" s="8"/>
    </row>
    <row r="334">
      <c r="B334" s="8"/>
      <c r="H334" s="8"/>
    </row>
    <row r="335">
      <c r="B335" s="8"/>
      <c r="H335" s="8"/>
    </row>
    <row r="336">
      <c r="B336" s="8"/>
      <c r="H336" s="8"/>
    </row>
    <row r="337">
      <c r="B337" s="8"/>
      <c r="H337" s="8"/>
    </row>
    <row r="338">
      <c r="B338" s="8"/>
      <c r="H338" s="8"/>
    </row>
    <row r="339">
      <c r="B339" s="8"/>
      <c r="H339" s="8"/>
    </row>
    <row r="340">
      <c r="B340" s="8"/>
      <c r="H340" s="8"/>
    </row>
    <row r="341">
      <c r="B341" s="8"/>
      <c r="H341" s="8"/>
    </row>
    <row r="342">
      <c r="B342" s="8"/>
      <c r="H342" s="8"/>
    </row>
    <row r="343">
      <c r="B343" s="8"/>
      <c r="H343" s="8"/>
    </row>
    <row r="344">
      <c r="B344" s="8"/>
      <c r="H344" s="8"/>
    </row>
    <row r="345">
      <c r="B345" s="8"/>
      <c r="H345" s="8"/>
    </row>
    <row r="346">
      <c r="B346" s="8"/>
      <c r="H346" s="8"/>
    </row>
    <row r="347">
      <c r="B347" s="8"/>
      <c r="H347" s="8"/>
    </row>
    <row r="348">
      <c r="B348" s="8"/>
      <c r="H348" s="8"/>
    </row>
    <row r="349">
      <c r="B349" s="8"/>
      <c r="H349" s="8"/>
    </row>
    <row r="350">
      <c r="B350" s="8"/>
      <c r="H350" s="8"/>
    </row>
    <row r="351">
      <c r="B351" s="8"/>
      <c r="H351" s="8"/>
    </row>
    <row r="352">
      <c r="B352" s="8"/>
      <c r="H352" s="8"/>
    </row>
    <row r="353">
      <c r="B353" s="8"/>
      <c r="H353" s="8"/>
    </row>
    <row r="354">
      <c r="B354" s="8"/>
      <c r="H354" s="8"/>
    </row>
    <row r="355">
      <c r="B355" s="8"/>
      <c r="H355" s="8"/>
    </row>
    <row r="356">
      <c r="B356" s="8"/>
      <c r="H356" s="8"/>
    </row>
    <row r="357">
      <c r="B357" s="8"/>
      <c r="H357" s="8"/>
    </row>
    <row r="358">
      <c r="B358" s="8"/>
      <c r="H358" s="8"/>
    </row>
    <row r="359">
      <c r="B359" s="8"/>
      <c r="H359" s="8"/>
    </row>
    <row r="360">
      <c r="B360" s="8"/>
      <c r="H360" s="8"/>
    </row>
    <row r="361">
      <c r="B361" s="8"/>
      <c r="H361" s="8"/>
    </row>
    <row r="362">
      <c r="B362" s="8"/>
      <c r="H362" s="8"/>
    </row>
    <row r="363">
      <c r="B363" s="8"/>
      <c r="H363" s="8"/>
    </row>
    <row r="364">
      <c r="B364" s="8"/>
      <c r="H364" s="8"/>
    </row>
    <row r="365">
      <c r="B365" s="8"/>
      <c r="H365" s="8"/>
    </row>
    <row r="366">
      <c r="B366" s="8"/>
      <c r="H366" s="8"/>
    </row>
    <row r="367">
      <c r="B367" s="8"/>
      <c r="H367" s="8"/>
    </row>
    <row r="368">
      <c r="B368" s="8"/>
      <c r="H368" s="8"/>
    </row>
    <row r="369">
      <c r="B369" s="8"/>
      <c r="H369" s="8"/>
    </row>
    <row r="370">
      <c r="B370" s="8"/>
      <c r="H370" s="8"/>
    </row>
    <row r="371">
      <c r="B371" s="8"/>
      <c r="H371" s="8"/>
    </row>
    <row r="372">
      <c r="B372" s="8"/>
      <c r="H372" s="8"/>
    </row>
    <row r="373">
      <c r="B373" s="8"/>
      <c r="H373" s="8"/>
    </row>
    <row r="374">
      <c r="B374" s="8"/>
      <c r="H374" s="8"/>
    </row>
    <row r="375">
      <c r="B375" s="8"/>
      <c r="H375" s="8"/>
    </row>
    <row r="376">
      <c r="B376" s="8"/>
      <c r="H376" s="8"/>
    </row>
    <row r="377">
      <c r="B377" s="8"/>
      <c r="H377" s="8"/>
    </row>
    <row r="378">
      <c r="B378" s="8"/>
      <c r="H378" s="8"/>
    </row>
    <row r="379">
      <c r="B379" s="8"/>
      <c r="H379" s="8"/>
    </row>
    <row r="380">
      <c r="B380" s="8"/>
      <c r="H380" s="8"/>
    </row>
    <row r="381">
      <c r="B381" s="8"/>
      <c r="H381" s="8"/>
    </row>
    <row r="382">
      <c r="B382" s="8"/>
      <c r="H382" s="8"/>
    </row>
    <row r="383">
      <c r="B383" s="8"/>
      <c r="H383" s="8"/>
    </row>
    <row r="384">
      <c r="B384" s="8"/>
      <c r="H384" s="8"/>
    </row>
    <row r="385">
      <c r="B385" s="8"/>
      <c r="H385" s="8"/>
    </row>
    <row r="386">
      <c r="B386" s="8"/>
      <c r="H386" s="8"/>
    </row>
    <row r="387">
      <c r="B387" s="8"/>
      <c r="H387" s="8"/>
    </row>
    <row r="388">
      <c r="B388" s="8"/>
      <c r="H388" s="8"/>
    </row>
    <row r="389">
      <c r="B389" s="8"/>
      <c r="H389" s="8"/>
    </row>
    <row r="390">
      <c r="B390" s="8"/>
      <c r="H390" s="8"/>
    </row>
    <row r="391">
      <c r="B391" s="8"/>
      <c r="H391" s="8"/>
    </row>
    <row r="392">
      <c r="B392" s="8"/>
      <c r="H392" s="8"/>
    </row>
    <row r="393">
      <c r="B393" s="8"/>
      <c r="H393" s="8"/>
    </row>
    <row r="394">
      <c r="B394" s="8"/>
      <c r="H394" s="8"/>
    </row>
    <row r="395">
      <c r="B395" s="8"/>
      <c r="H395" s="8"/>
    </row>
    <row r="396">
      <c r="B396" s="8"/>
      <c r="H396" s="8"/>
    </row>
    <row r="397">
      <c r="B397" s="8"/>
      <c r="H397" s="8"/>
    </row>
    <row r="398">
      <c r="B398" s="8"/>
      <c r="H398" s="8"/>
    </row>
    <row r="399">
      <c r="B399" s="8"/>
      <c r="H399" s="8"/>
    </row>
    <row r="400">
      <c r="B400" s="8"/>
      <c r="H400" s="8"/>
    </row>
    <row r="401">
      <c r="B401" s="8"/>
      <c r="H401" s="8"/>
    </row>
    <row r="402">
      <c r="B402" s="8"/>
      <c r="H402" s="8"/>
    </row>
    <row r="403">
      <c r="B403" s="8"/>
      <c r="H403" s="8"/>
    </row>
    <row r="404">
      <c r="B404" s="8"/>
      <c r="H404" s="8"/>
    </row>
    <row r="405">
      <c r="B405" s="8"/>
      <c r="H405" s="8"/>
    </row>
    <row r="406">
      <c r="B406" s="8"/>
      <c r="H406" s="8"/>
    </row>
    <row r="407">
      <c r="B407" s="8"/>
      <c r="H407" s="8"/>
    </row>
    <row r="408">
      <c r="B408" s="8"/>
      <c r="H408" s="8"/>
    </row>
    <row r="409">
      <c r="B409" s="8"/>
      <c r="H409" s="8"/>
    </row>
    <row r="410">
      <c r="B410" s="8"/>
      <c r="H410" s="8"/>
    </row>
    <row r="411">
      <c r="B411" s="8"/>
      <c r="H411" s="8"/>
    </row>
    <row r="412">
      <c r="B412" s="8"/>
      <c r="H412" s="8"/>
    </row>
    <row r="413">
      <c r="B413" s="8"/>
      <c r="H413" s="8"/>
    </row>
    <row r="414">
      <c r="B414" s="8"/>
      <c r="H414" s="8"/>
    </row>
    <row r="415">
      <c r="B415" s="8"/>
      <c r="H415" s="8"/>
    </row>
    <row r="416">
      <c r="B416" s="8"/>
      <c r="H416" s="8"/>
    </row>
    <row r="417">
      <c r="B417" s="8"/>
      <c r="H417" s="8"/>
    </row>
    <row r="418">
      <c r="B418" s="8"/>
      <c r="H418" s="8"/>
    </row>
    <row r="419">
      <c r="B419" s="8"/>
      <c r="H419" s="8"/>
    </row>
    <row r="420">
      <c r="B420" s="8"/>
      <c r="H420" s="8"/>
    </row>
    <row r="421">
      <c r="B421" s="8"/>
      <c r="H421" s="8"/>
    </row>
    <row r="422">
      <c r="B422" s="8"/>
      <c r="H422" s="8"/>
    </row>
    <row r="423">
      <c r="B423" s="8"/>
      <c r="H423" s="8"/>
    </row>
    <row r="424">
      <c r="B424" s="8"/>
      <c r="H424" s="8"/>
    </row>
    <row r="425">
      <c r="B425" s="8"/>
      <c r="H425" s="8"/>
    </row>
    <row r="426">
      <c r="B426" s="8"/>
      <c r="H426" s="8"/>
    </row>
    <row r="427">
      <c r="B427" s="8"/>
      <c r="H427" s="8"/>
    </row>
    <row r="428">
      <c r="B428" s="8"/>
      <c r="H428" s="8"/>
    </row>
    <row r="429">
      <c r="B429" s="8"/>
      <c r="H429" s="8"/>
    </row>
    <row r="430">
      <c r="B430" s="8"/>
      <c r="H430" s="8"/>
    </row>
    <row r="431">
      <c r="B431" s="8"/>
      <c r="H431" s="8"/>
    </row>
    <row r="432">
      <c r="B432" s="8"/>
      <c r="H432" s="8"/>
    </row>
    <row r="433">
      <c r="B433" s="8"/>
      <c r="H433" s="8"/>
    </row>
    <row r="434">
      <c r="B434" s="8"/>
      <c r="H434" s="8"/>
    </row>
    <row r="435">
      <c r="B435" s="8"/>
      <c r="H435" s="8"/>
    </row>
    <row r="436">
      <c r="B436" s="8"/>
      <c r="H436" s="8"/>
    </row>
    <row r="437">
      <c r="B437" s="8"/>
      <c r="H437" s="8"/>
    </row>
    <row r="438">
      <c r="B438" s="8"/>
      <c r="H438" s="8"/>
    </row>
    <row r="439">
      <c r="B439" s="8"/>
      <c r="H439" s="8"/>
    </row>
    <row r="440">
      <c r="B440" s="8"/>
      <c r="H440" s="8"/>
    </row>
    <row r="441">
      <c r="B441" s="8"/>
      <c r="H441" s="8"/>
    </row>
    <row r="442">
      <c r="B442" s="8"/>
      <c r="H442" s="8"/>
    </row>
    <row r="443">
      <c r="B443" s="8"/>
      <c r="H443" s="8"/>
    </row>
    <row r="444">
      <c r="B444" s="8"/>
      <c r="H444" s="8"/>
    </row>
    <row r="445">
      <c r="B445" s="8"/>
      <c r="H445" s="8"/>
    </row>
    <row r="446">
      <c r="B446" s="8"/>
      <c r="H446" s="8"/>
    </row>
    <row r="447">
      <c r="B447" s="8"/>
      <c r="H447" s="8"/>
    </row>
    <row r="448">
      <c r="B448" s="8"/>
      <c r="H448" s="8"/>
    </row>
    <row r="449">
      <c r="B449" s="8"/>
      <c r="H449" s="8"/>
    </row>
    <row r="450">
      <c r="B450" s="8"/>
      <c r="H450" s="8"/>
    </row>
    <row r="451">
      <c r="B451" s="8"/>
      <c r="H451" s="8"/>
    </row>
    <row r="452">
      <c r="B452" s="8"/>
      <c r="H452" s="8"/>
    </row>
    <row r="453">
      <c r="B453" s="8"/>
      <c r="H453" s="8"/>
    </row>
    <row r="454">
      <c r="B454" s="8"/>
      <c r="H454" s="8"/>
    </row>
    <row r="455">
      <c r="B455" s="8"/>
      <c r="H455" s="8"/>
    </row>
    <row r="456">
      <c r="B456" s="8"/>
      <c r="H456" s="8"/>
    </row>
    <row r="457">
      <c r="B457" s="8"/>
      <c r="H457" s="8"/>
    </row>
    <row r="458">
      <c r="B458" s="8"/>
      <c r="H458" s="8"/>
    </row>
    <row r="459">
      <c r="B459" s="8"/>
      <c r="H459" s="8"/>
    </row>
    <row r="460">
      <c r="B460" s="8"/>
      <c r="H460" s="8"/>
    </row>
    <row r="461">
      <c r="B461" s="8"/>
      <c r="H461" s="8"/>
    </row>
    <row r="462">
      <c r="B462" s="8"/>
      <c r="H462" s="8"/>
    </row>
    <row r="463">
      <c r="B463" s="8"/>
      <c r="H463" s="8"/>
    </row>
    <row r="464">
      <c r="B464" s="8"/>
      <c r="H464" s="8"/>
    </row>
    <row r="465">
      <c r="B465" s="8"/>
      <c r="H465" s="8"/>
    </row>
    <row r="466">
      <c r="B466" s="8"/>
      <c r="H466" s="8"/>
    </row>
    <row r="467">
      <c r="B467" s="8"/>
      <c r="H467" s="8"/>
    </row>
    <row r="468">
      <c r="B468" s="8"/>
      <c r="H468" s="8"/>
    </row>
    <row r="469">
      <c r="B469" s="8"/>
      <c r="H469" s="8"/>
    </row>
    <row r="470">
      <c r="B470" s="8"/>
      <c r="H470" s="8"/>
    </row>
    <row r="471">
      <c r="B471" s="8"/>
      <c r="H471" s="8"/>
    </row>
    <row r="472">
      <c r="B472" s="8"/>
      <c r="H472" s="8"/>
    </row>
    <row r="473">
      <c r="B473" s="8"/>
      <c r="H473" s="8"/>
    </row>
    <row r="474">
      <c r="B474" s="8"/>
      <c r="H474" s="8"/>
    </row>
    <row r="475">
      <c r="B475" s="8"/>
      <c r="H475" s="8"/>
    </row>
    <row r="476">
      <c r="B476" s="8"/>
      <c r="H476" s="8"/>
    </row>
    <row r="477">
      <c r="B477" s="8"/>
      <c r="H477" s="8"/>
    </row>
    <row r="478">
      <c r="B478" s="8"/>
      <c r="H478" s="8"/>
    </row>
    <row r="479">
      <c r="B479" s="8"/>
      <c r="H479" s="8"/>
    </row>
    <row r="480">
      <c r="B480" s="8"/>
      <c r="H480" s="8"/>
    </row>
    <row r="481">
      <c r="B481" s="8"/>
      <c r="H481" s="8"/>
    </row>
    <row r="482">
      <c r="B482" s="8"/>
      <c r="H482" s="8"/>
    </row>
    <row r="483">
      <c r="B483" s="8"/>
      <c r="H483" s="8"/>
    </row>
    <row r="484">
      <c r="B484" s="8"/>
      <c r="H484" s="8"/>
    </row>
    <row r="485">
      <c r="B485" s="8"/>
      <c r="H485" s="8"/>
    </row>
    <row r="486">
      <c r="B486" s="8"/>
      <c r="H486" s="8"/>
    </row>
    <row r="487">
      <c r="B487" s="8"/>
      <c r="H487" s="8"/>
    </row>
    <row r="488">
      <c r="B488" s="8"/>
      <c r="H488" s="8"/>
    </row>
    <row r="489">
      <c r="B489" s="8"/>
      <c r="H489" s="8"/>
    </row>
    <row r="490">
      <c r="B490" s="8"/>
      <c r="H490" s="8"/>
    </row>
    <row r="491">
      <c r="B491" s="8"/>
      <c r="H491" s="8"/>
    </row>
    <row r="492">
      <c r="B492" s="8"/>
      <c r="H492" s="8"/>
    </row>
    <row r="493">
      <c r="B493" s="8"/>
      <c r="H493" s="8"/>
    </row>
    <row r="494">
      <c r="B494" s="8"/>
      <c r="H494" s="8"/>
    </row>
    <row r="495">
      <c r="B495" s="8"/>
      <c r="H495" s="8"/>
    </row>
    <row r="496">
      <c r="B496" s="8"/>
      <c r="H496" s="8"/>
    </row>
    <row r="497">
      <c r="B497" s="8"/>
      <c r="H497" s="8"/>
    </row>
    <row r="498">
      <c r="B498" s="8"/>
      <c r="H498" s="8"/>
    </row>
    <row r="499">
      <c r="B499" s="8"/>
      <c r="H499" s="8"/>
    </row>
    <row r="500">
      <c r="B500" s="8"/>
      <c r="H500" s="8"/>
    </row>
    <row r="501">
      <c r="B501" s="8"/>
      <c r="H501" s="8"/>
    </row>
    <row r="502">
      <c r="B502" s="8"/>
      <c r="H502" s="8"/>
    </row>
    <row r="503">
      <c r="B503" s="8"/>
      <c r="H503" s="8"/>
    </row>
    <row r="504">
      <c r="B504" s="8"/>
      <c r="H504" s="8"/>
    </row>
    <row r="505">
      <c r="B505" s="8"/>
      <c r="H505" s="8"/>
    </row>
    <row r="506">
      <c r="B506" s="8"/>
      <c r="H506" s="8"/>
    </row>
    <row r="507">
      <c r="B507" s="8"/>
      <c r="H507" s="8"/>
    </row>
    <row r="508">
      <c r="B508" s="8"/>
      <c r="H508" s="8"/>
    </row>
    <row r="509">
      <c r="B509" s="8"/>
      <c r="H509" s="8"/>
    </row>
    <row r="510">
      <c r="B510" s="8"/>
      <c r="H510" s="8"/>
    </row>
    <row r="511">
      <c r="B511" s="8"/>
      <c r="H511" s="8"/>
    </row>
    <row r="512">
      <c r="B512" s="8"/>
      <c r="H512" s="8"/>
    </row>
    <row r="513">
      <c r="B513" s="8"/>
      <c r="H513" s="8"/>
    </row>
    <row r="514">
      <c r="B514" s="8"/>
      <c r="H514" s="8"/>
    </row>
    <row r="515">
      <c r="B515" s="8"/>
      <c r="H515" s="8"/>
    </row>
    <row r="516">
      <c r="B516" s="8"/>
      <c r="H516" s="8"/>
    </row>
    <row r="517">
      <c r="B517" s="8"/>
      <c r="H517" s="8"/>
    </row>
    <row r="518">
      <c r="B518" s="8"/>
      <c r="H518" s="8"/>
    </row>
    <row r="519">
      <c r="B519" s="8"/>
      <c r="H519" s="8"/>
    </row>
    <row r="520">
      <c r="B520" s="8"/>
      <c r="H520" s="8"/>
    </row>
    <row r="521">
      <c r="B521" s="8"/>
      <c r="H521" s="8"/>
    </row>
    <row r="522">
      <c r="B522" s="8"/>
      <c r="H522" s="8"/>
    </row>
    <row r="523">
      <c r="B523" s="8"/>
      <c r="H523" s="8"/>
    </row>
    <row r="524">
      <c r="B524" s="8"/>
      <c r="H524" s="8"/>
    </row>
    <row r="525">
      <c r="B525" s="8"/>
      <c r="H525" s="8"/>
    </row>
    <row r="526">
      <c r="B526" s="8"/>
      <c r="H526" s="8"/>
    </row>
    <row r="527">
      <c r="B527" s="8"/>
      <c r="H527" s="8"/>
    </row>
    <row r="528">
      <c r="B528" s="8"/>
      <c r="H528" s="8"/>
    </row>
    <row r="529">
      <c r="B529" s="8"/>
      <c r="H529" s="8"/>
    </row>
    <row r="530">
      <c r="B530" s="8"/>
      <c r="H530" s="8"/>
    </row>
    <row r="531">
      <c r="B531" s="8"/>
      <c r="H531" s="8"/>
    </row>
    <row r="532">
      <c r="B532" s="8"/>
      <c r="H532" s="8"/>
    </row>
    <row r="533">
      <c r="B533" s="8"/>
      <c r="H533" s="8"/>
    </row>
    <row r="534">
      <c r="B534" s="8"/>
      <c r="H534" s="8"/>
    </row>
    <row r="535">
      <c r="B535" s="8"/>
      <c r="H535" s="8"/>
    </row>
    <row r="536">
      <c r="B536" s="8"/>
      <c r="H536" s="8"/>
    </row>
    <row r="537">
      <c r="B537" s="8"/>
      <c r="H537" s="8"/>
    </row>
    <row r="538">
      <c r="B538" s="8"/>
      <c r="H538" s="8"/>
    </row>
    <row r="539">
      <c r="B539" s="8"/>
      <c r="H539" s="8"/>
    </row>
    <row r="540">
      <c r="B540" s="8"/>
      <c r="H540" s="8"/>
    </row>
    <row r="541">
      <c r="B541" s="8"/>
      <c r="H541" s="8"/>
    </row>
    <row r="542">
      <c r="B542" s="8"/>
      <c r="H542" s="8"/>
    </row>
    <row r="543">
      <c r="B543" s="8"/>
      <c r="H543" s="8"/>
    </row>
    <row r="544">
      <c r="B544" s="8"/>
      <c r="H544" s="8"/>
    </row>
    <row r="545">
      <c r="B545" s="8"/>
      <c r="H545" s="8"/>
    </row>
    <row r="546">
      <c r="B546" s="8"/>
      <c r="H546" s="8"/>
    </row>
    <row r="547">
      <c r="B547" s="8"/>
      <c r="H547" s="8"/>
    </row>
    <row r="548">
      <c r="B548" s="8"/>
      <c r="H548" s="8"/>
    </row>
    <row r="549">
      <c r="B549" s="8"/>
      <c r="H549" s="8"/>
    </row>
    <row r="550">
      <c r="B550" s="8"/>
      <c r="H550" s="8"/>
    </row>
    <row r="551">
      <c r="B551" s="8"/>
      <c r="H551" s="8"/>
    </row>
    <row r="552">
      <c r="B552" s="8"/>
      <c r="H552" s="8"/>
    </row>
    <row r="553">
      <c r="B553" s="8"/>
      <c r="H553" s="8"/>
    </row>
    <row r="554">
      <c r="B554" s="8"/>
      <c r="H554" s="8"/>
    </row>
    <row r="555">
      <c r="B555" s="8"/>
      <c r="H555" s="8"/>
    </row>
    <row r="556">
      <c r="B556" s="8"/>
      <c r="H556" s="8"/>
    </row>
    <row r="557">
      <c r="B557" s="8"/>
      <c r="H557" s="8"/>
    </row>
    <row r="558">
      <c r="B558" s="8"/>
      <c r="H558" s="8"/>
    </row>
    <row r="559">
      <c r="B559" s="8"/>
      <c r="H559" s="8"/>
    </row>
    <row r="560">
      <c r="B560" s="8"/>
      <c r="H560" s="8"/>
    </row>
    <row r="561">
      <c r="B561" s="8"/>
      <c r="H561" s="8"/>
    </row>
    <row r="562">
      <c r="B562" s="8"/>
      <c r="H562" s="8"/>
    </row>
    <row r="563">
      <c r="B563" s="8"/>
      <c r="H563" s="8"/>
    </row>
    <row r="564">
      <c r="B564" s="8"/>
      <c r="H564" s="8"/>
    </row>
    <row r="565">
      <c r="B565" s="8"/>
      <c r="H565" s="8"/>
    </row>
    <row r="566">
      <c r="B566" s="8"/>
      <c r="H566" s="8"/>
    </row>
    <row r="567">
      <c r="B567" s="8"/>
      <c r="H567" s="8"/>
    </row>
    <row r="568">
      <c r="B568" s="8"/>
      <c r="H568" s="8"/>
    </row>
    <row r="569">
      <c r="B569" s="8"/>
      <c r="H569" s="8"/>
    </row>
    <row r="570">
      <c r="B570" s="8"/>
      <c r="H570" s="8"/>
    </row>
    <row r="571">
      <c r="B571" s="8"/>
      <c r="H571" s="8"/>
    </row>
    <row r="572">
      <c r="B572" s="8"/>
      <c r="H572" s="8"/>
    </row>
    <row r="573">
      <c r="B573" s="8"/>
      <c r="H573" s="8"/>
    </row>
    <row r="574">
      <c r="B574" s="8"/>
      <c r="H574" s="8"/>
    </row>
    <row r="575">
      <c r="B575" s="8"/>
      <c r="H575" s="8"/>
    </row>
    <row r="576">
      <c r="B576" s="8"/>
      <c r="H576" s="8"/>
    </row>
    <row r="577">
      <c r="B577" s="8"/>
      <c r="H577" s="8"/>
    </row>
    <row r="578">
      <c r="B578" s="8"/>
      <c r="H578" s="8"/>
    </row>
    <row r="579">
      <c r="B579" s="8"/>
      <c r="H579" s="8"/>
    </row>
    <row r="580">
      <c r="B580" s="8"/>
      <c r="H580" s="8"/>
    </row>
    <row r="581">
      <c r="B581" s="8"/>
      <c r="H581" s="8"/>
    </row>
    <row r="582">
      <c r="B582" s="8"/>
      <c r="H582" s="8"/>
    </row>
    <row r="583">
      <c r="B583" s="8"/>
      <c r="H583" s="8"/>
    </row>
    <row r="584">
      <c r="B584" s="8"/>
      <c r="H584" s="8"/>
    </row>
    <row r="585">
      <c r="B585" s="8"/>
      <c r="H585" s="8"/>
    </row>
    <row r="586">
      <c r="B586" s="8"/>
      <c r="H586" s="8"/>
    </row>
    <row r="587">
      <c r="B587" s="8"/>
      <c r="H587" s="8"/>
    </row>
    <row r="588">
      <c r="B588" s="8"/>
      <c r="H588" s="8"/>
    </row>
    <row r="589">
      <c r="B589" s="8"/>
      <c r="H589" s="8"/>
    </row>
    <row r="590">
      <c r="B590" s="8"/>
      <c r="H590" s="8"/>
    </row>
    <row r="591">
      <c r="B591" s="8"/>
      <c r="H591" s="8"/>
    </row>
    <row r="592">
      <c r="B592" s="8"/>
      <c r="H592" s="8"/>
    </row>
    <row r="593">
      <c r="B593" s="8"/>
      <c r="H593" s="8"/>
    </row>
    <row r="594">
      <c r="B594" s="8"/>
      <c r="H594" s="8"/>
    </row>
    <row r="595">
      <c r="B595" s="8"/>
      <c r="H595" s="8"/>
    </row>
    <row r="596">
      <c r="B596" s="8"/>
      <c r="H596" s="8"/>
    </row>
    <row r="597">
      <c r="B597" s="8"/>
      <c r="H597" s="8"/>
    </row>
    <row r="598">
      <c r="B598" s="8"/>
      <c r="H598" s="8"/>
    </row>
    <row r="599">
      <c r="B599" s="8"/>
      <c r="H599" s="8"/>
    </row>
    <row r="600">
      <c r="B600" s="8"/>
      <c r="H600" s="8"/>
    </row>
    <row r="601">
      <c r="B601" s="8"/>
      <c r="H601" s="8"/>
    </row>
    <row r="602">
      <c r="B602" s="8"/>
      <c r="H602" s="8"/>
    </row>
    <row r="603">
      <c r="B603" s="8"/>
      <c r="H603" s="8"/>
    </row>
    <row r="604">
      <c r="B604" s="8"/>
      <c r="H604" s="8"/>
    </row>
    <row r="605">
      <c r="B605" s="8"/>
      <c r="H605" s="8"/>
    </row>
    <row r="606">
      <c r="B606" s="8"/>
      <c r="H606" s="8"/>
    </row>
    <row r="607">
      <c r="B607" s="8"/>
      <c r="H607" s="8"/>
    </row>
    <row r="608">
      <c r="B608" s="8"/>
      <c r="H608" s="8"/>
    </row>
    <row r="609">
      <c r="B609" s="8"/>
      <c r="H609" s="8"/>
    </row>
    <row r="610">
      <c r="B610" s="8"/>
      <c r="H610" s="8"/>
    </row>
    <row r="611">
      <c r="B611" s="8"/>
      <c r="H611" s="8"/>
    </row>
    <row r="612">
      <c r="B612" s="8"/>
      <c r="H612" s="8"/>
    </row>
    <row r="613">
      <c r="B613" s="8"/>
      <c r="H613" s="8"/>
    </row>
    <row r="614">
      <c r="B614" s="8"/>
      <c r="H614" s="8"/>
    </row>
    <row r="615">
      <c r="B615" s="8"/>
      <c r="H615" s="8"/>
    </row>
    <row r="616">
      <c r="B616" s="8"/>
      <c r="H616" s="8"/>
    </row>
    <row r="617">
      <c r="B617" s="8"/>
      <c r="H617" s="8"/>
    </row>
    <row r="618">
      <c r="B618" s="8"/>
      <c r="H618" s="8"/>
    </row>
    <row r="619">
      <c r="B619" s="8"/>
      <c r="H619" s="8"/>
    </row>
    <row r="620">
      <c r="B620" s="8"/>
      <c r="H620" s="8"/>
    </row>
    <row r="621">
      <c r="B621" s="8"/>
      <c r="H621" s="8"/>
    </row>
    <row r="622">
      <c r="B622" s="8"/>
      <c r="H622" s="8"/>
    </row>
    <row r="623">
      <c r="B623" s="8"/>
      <c r="H623" s="8"/>
    </row>
    <row r="624">
      <c r="B624" s="8"/>
      <c r="H624" s="8"/>
    </row>
    <row r="625">
      <c r="B625" s="8"/>
      <c r="H625" s="8"/>
    </row>
    <row r="626">
      <c r="B626" s="8"/>
      <c r="H626" s="8"/>
    </row>
    <row r="627">
      <c r="B627" s="8"/>
      <c r="H627" s="8"/>
    </row>
    <row r="628">
      <c r="B628" s="8"/>
      <c r="H628" s="8"/>
    </row>
    <row r="629">
      <c r="B629" s="8"/>
      <c r="H629" s="8"/>
    </row>
    <row r="630">
      <c r="B630" s="8"/>
      <c r="H630" s="8"/>
    </row>
    <row r="631">
      <c r="B631" s="8"/>
      <c r="H631" s="8"/>
    </row>
    <row r="632">
      <c r="B632" s="8"/>
      <c r="H632" s="8"/>
    </row>
    <row r="633">
      <c r="B633" s="8"/>
      <c r="H633" s="8"/>
    </row>
    <row r="634">
      <c r="B634" s="8"/>
      <c r="H634" s="8"/>
    </row>
    <row r="635">
      <c r="B635" s="8"/>
      <c r="H635" s="8"/>
    </row>
    <row r="636">
      <c r="B636" s="8"/>
      <c r="H636" s="8"/>
    </row>
    <row r="637">
      <c r="B637" s="8"/>
      <c r="H637" s="8"/>
    </row>
    <row r="638">
      <c r="B638" s="8"/>
      <c r="H638" s="8"/>
    </row>
    <row r="639">
      <c r="B639" s="8"/>
      <c r="H639" s="8"/>
    </row>
    <row r="640">
      <c r="B640" s="8"/>
      <c r="H640" s="8"/>
    </row>
    <row r="641">
      <c r="B641" s="8"/>
      <c r="H641" s="8"/>
    </row>
    <row r="642">
      <c r="B642" s="8"/>
      <c r="H642" s="8"/>
    </row>
    <row r="643">
      <c r="B643" s="8"/>
      <c r="H643" s="8"/>
    </row>
    <row r="644">
      <c r="B644" s="8"/>
      <c r="H644" s="8"/>
    </row>
    <row r="645">
      <c r="B645" s="8"/>
      <c r="H645" s="8"/>
    </row>
    <row r="646">
      <c r="B646" s="8"/>
      <c r="H646" s="8"/>
    </row>
    <row r="647">
      <c r="B647" s="8"/>
      <c r="H647" s="8"/>
    </row>
    <row r="648">
      <c r="B648" s="8"/>
      <c r="H648" s="8"/>
    </row>
    <row r="649">
      <c r="B649" s="8"/>
      <c r="H649" s="8"/>
    </row>
    <row r="650">
      <c r="B650" s="8"/>
      <c r="H650" s="8"/>
    </row>
    <row r="651">
      <c r="B651" s="8"/>
      <c r="H651" s="8"/>
    </row>
    <row r="652">
      <c r="B652" s="8"/>
      <c r="H652" s="8"/>
    </row>
    <row r="653">
      <c r="B653" s="8"/>
      <c r="H653" s="8"/>
    </row>
    <row r="654">
      <c r="B654" s="8"/>
      <c r="H654" s="8"/>
    </row>
    <row r="655">
      <c r="B655" s="8"/>
      <c r="H655" s="8"/>
    </row>
    <row r="656">
      <c r="B656" s="8"/>
      <c r="H656" s="8"/>
    </row>
    <row r="657">
      <c r="B657" s="8"/>
      <c r="H657" s="8"/>
    </row>
    <row r="658">
      <c r="B658" s="8"/>
      <c r="H658" s="8"/>
    </row>
    <row r="659">
      <c r="B659" s="8"/>
      <c r="H659" s="8"/>
    </row>
    <row r="660">
      <c r="B660" s="8"/>
      <c r="H660" s="8"/>
    </row>
    <row r="661">
      <c r="B661" s="8"/>
      <c r="H661" s="8"/>
    </row>
    <row r="662">
      <c r="B662" s="8"/>
      <c r="H662" s="8"/>
    </row>
    <row r="663">
      <c r="B663" s="8"/>
      <c r="H663" s="8"/>
    </row>
    <row r="664">
      <c r="B664" s="8"/>
      <c r="H664" s="8"/>
    </row>
    <row r="665">
      <c r="B665" s="8"/>
      <c r="H665" s="8"/>
    </row>
    <row r="666">
      <c r="B666" s="8"/>
      <c r="H666" s="8"/>
    </row>
    <row r="667">
      <c r="B667" s="8"/>
      <c r="H667" s="8"/>
    </row>
    <row r="668">
      <c r="B668" s="8"/>
      <c r="H668" s="8"/>
    </row>
    <row r="669">
      <c r="B669" s="8"/>
      <c r="H669" s="8"/>
    </row>
    <row r="670">
      <c r="B670" s="8"/>
      <c r="H670" s="8"/>
    </row>
    <row r="671">
      <c r="B671" s="8"/>
      <c r="H671" s="8"/>
    </row>
    <row r="672">
      <c r="B672" s="8"/>
      <c r="H672" s="8"/>
    </row>
    <row r="673">
      <c r="B673" s="8"/>
      <c r="H673" s="8"/>
    </row>
    <row r="674">
      <c r="B674" s="8"/>
      <c r="H674" s="8"/>
    </row>
    <row r="675">
      <c r="B675" s="8"/>
      <c r="H675" s="8"/>
    </row>
    <row r="676">
      <c r="B676" s="8"/>
      <c r="H676" s="8"/>
    </row>
    <row r="677">
      <c r="B677" s="8"/>
      <c r="H677" s="8"/>
    </row>
    <row r="678">
      <c r="B678" s="8"/>
      <c r="H678" s="8"/>
    </row>
    <row r="679">
      <c r="B679" s="8"/>
      <c r="H679" s="8"/>
    </row>
    <row r="680">
      <c r="B680" s="8"/>
      <c r="H680" s="8"/>
    </row>
    <row r="681">
      <c r="B681" s="8"/>
      <c r="H681" s="8"/>
    </row>
    <row r="682">
      <c r="B682" s="8"/>
      <c r="H682" s="8"/>
    </row>
    <row r="683">
      <c r="B683" s="8"/>
      <c r="H683" s="8"/>
    </row>
    <row r="684">
      <c r="B684" s="8"/>
      <c r="H684" s="8"/>
    </row>
    <row r="685">
      <c r="B685" s="8"/>
      <c r="H685" s="8"/>
    </row>
    <row r="686">
      <c r="B686" s="8"/>
      <c r="H686" s="8"/>
    </row>
    <row r="687">
      <c r="B687" s="8"/>
      <c r="H687" s="8"/>
    </row>
    <row r="688">
      <c r="B688" s="8"/>
      <c r="H688" s="8"/>
    </row>
    <row r="689">
      <c r="B689" s="8"/>
      <c r="H689" s="8"/>
    </row>
    <row r="690">
      <c r="B690" s="8"/>
      <c r="H690" s="8"/>
    </row>
    <row r="691">
      <c r="B691" s="8"/>
      <c r="H691" s="8"/>
    </row>
    <row r="692">
      <c r="B692" s="8"/>
      <c r="H692" s="8"/>
    </row>
    <row r="693">
      <c r="B693" s="8"/>
      <c r="H693" s="8"/>
    </row>
    <row r="694">
      <c r="B694" s="8"/>
      <c r="H694" s="8"/>
    </row>
    <row r="695">
      <c r="B695" s="8"/>
      <c r="H695" s="8"/>
    </row>
    <row r="696">
      <c r="B696" s="8"/>
      <c r="H696" s="8"/>
    </row>
    <row r="697">
      <c r="B697" s="8"/>
      <c r="H697" s="8"/>
    </row>
    <row r="698">
      <c r="B698" s="8"/>
      <c r="H698" s="8"/>
    </row>
    <row r="699">
      <c r="B699" s="8"/>
      <c r="H699" s="8"/>
    </row>
    <row r="700">
      <c r="B700" s="8"/>
      <c r="H700" s="8"/>
    </row>
    <row r="701">
      <c r="B701" s="8"/>
      <c r="H701" s="8"/>
    </row>
    <row r="702">
      <c r="B702" s="8"/>
      <c r="H702" s="8"/>
    </row>
    <row r="703">
      <c r="B703" s="8"/>
      <c r="H703" s="8"/>
    </row>
    <row r="704">
      <c r="B704" s="8"/>
      <c r="H704" s="8"/>
    </row>
    <row r="705">
      <c r="B705" s="8"/>
      <c r="H705" s="8"/>
    </row>
    <row r="706">
      <c r="B706" s="8"/>
      <c r="H706" s="8"/>
    </row>
    <row r="707">
      <c r="B707" s="8"/>
      <c r="H707" s="8"/>
    </row>
    <row r="708">
      <c r="B708" s="8"/>
      <c r="H708" s="8"/>
    </row>
    <row r="709">
      <c r="B709" s="8"/>
      <c r="H709" s="8"/>
    </row>
    <row r="710">
      <c r="B710" s="8"/>
      <c r="H710" s="8"/>
    </row>
    <row r="711">
      <c r="B711" s="8"/>
      <c r="H711" s="8"/>
    </row>
    <row r="712">
      <c r="B712" s="8"/>
      <c r="H712" s="8"/>
    </row>
    <row r="713">
      <c r="B713" s="8"/>
      <c r="H713" s="8"/>
    </row>
    <row r="714">
      <c r="B714" s="8"/>
      <c r="H714" s="8"/>
    </row>
    <row r="715">
      <c r="B715" s="8"/>
      <c r="H715" s="8"/>
    </row>
    <row r="716">
      <c r="B716" s="8"/>
      <c r="H716" s="8"/>
    </row>
    <row r="717">
      <c r="B717" s="8"/>
      <c r="H717" s="8"/>
    </row>
    <row r="718">
      <c r="B718" s="8"/>
      <c r="H718" s="8"/>
    </row>
    <row r="719">
      <c r="B719" s="8"/>
      <c r="H719" s="8"/>
    </row>
    <row r="720">
      <c r="B720" s="8"/>
      <c r="H720" s="8"/>
    </row>
    <row r="721">
      <c r="B721" s="8"/>
      <c r="H721" s="8"/>
    </row>
    <row r="722">
      <c r="B722" s="8"/>
      <c r="H722" s="8"/>
    </row>
    <row r="723">
      <c r="B723" s="8"/>
      <c r="H723" s="8"/>
    </row>
    <row r="724">
      <c r="B724" s="8"/>
      <c r="H724" s="8"/>
    </row>
    <row r="725">
      <c r="B725" s="8"/>
      <c r="H725" s="8"/>
    </row>
    <row r="726">
      <c r="B726" s="8"/>
      <c r="H726" s="8"/>
    </row>
    <row r="727">
      <c r="B727" s="8"/>
      <c r="H727" s="8"/>
    </row>
    <row r="728">
      <c r="B728" s="8"/>
      <c r="H728" s="8"/>
    </row>
    <row r="729">
      <c r="B729" s="8"/>
      <c r="H729" s="8"/>
    </row>
    <row r="730">
      <c r="B730" s="8"/>
      <c r="H730" s="8"/>
    </row>
    <row r="731">
      <c r="B731" s="8"/>
      <c r="H731" s="8"/>
    </row>
    <row r="732">
      <c r="B732" s="8"/>
      <c r="H732" s="8"/>
    </row>
    <row r="733">
      <c r="B733" s="8"/>
      <c r="H733" s="8"/>
    </row>
    <row r="734">
      <c r="B734" s="8"/>
      <c r="H734" s="8"/>
    </row>
    <row r="735">
      <c r="B735" s="8"/>
      <c r="H735" s="8"/>
    </row>
    <row r="736">
      <c r="B736" s="8"/>
      <c r="H736" s="8"/>
    </row>
    <row r="737">
      <c r="B737" s="8"/>
      <c r="H737" s="8"/>
    </row>
    <row r="738">
      <c r="B738" s="8"/>
      <c r="H738" s="8"/>
    </row>
    <row r="739">
      <c r="B739" s="8"/>
      <c r="H739" s="8"/>
    </row>
    <row r="740">
      <c r="B740" s="8"/>
      <c r="H740" s="8"/>
    </row>
    <row r="741">
      <c r="B741" s="8"/>
      <c r="H741" s="8"/>
    </row>
    <row r="742">
      <c r="B742" s="8"/>
      <c r="H742" s="8"/>
    </row>
    <row r="743">
      <c r="B743" s="8"/>
      <c r="H743" s="8"/>
    </row>
    <row r="744">
      <c r="B744" s="8"/>
      <c r="H744" s="8"/>
    </row>
    <row r="745">
      <c r="B745" s="8"/>
      <c r="H745" s="8"/>
    </row>
    <row r="746">
      <c r="B746" s="8"/>
      <c r="H746" s="8"/>
    </row>
    <row r="747">
      <c r="B747" s="8"/>
      <c r="H747" s="8"/>
    </row>
    <row r="748">
      <c r="B748" s="8"/>
      <c r="H748" s="8"/>
    </row>
    <row r="749">
      <c r="B749" s="8"/>
      <c r="H749" s="8"/>
    </row>
    <row r="750">
      <c r="B750" s="8"/>
      <c r="H750" s="8"/>
    </row>
    <row r="751">
      <c r="B751" s="8"/>
      <c r="H751" s="8"/>
    </row>
    <row r="752">
      <c r="B752" s="8"/>
      <c r="H752" s="8"/>
    </row>
    <row r="753">
      <c r="B753" s="8"/>
      <c r="H753" s="8"/>
    </row>
    <row r="754">
      <c r="B754" s="8"/>
      <c r="H754" s="8"/>
    </row>
    <row r="755">
      <c r="B755" s="8"/>
      <c r="H755" s="8"/>
    </row>
    <row r="756">
      <c r="B756" s="8"/>
      <c r="H756" s="8"/>
    </row>
    <row r="757">
      <c r="B757" s="8"/>
      <c r="H757" s="8"/>
    </row>
    <row r="758">
      <c r="B758" s="8"/>
      <c r="H758" s="8"/>
    </row>
    <row r="759">
      <c r="B759" s="8"/>
      <c r="H759" s="8"/>
    </row>
    <row r="760">
      <c r="B760" s="8"/>
      <c r="H760" s="8"/>
    </row>
    <row r="761">
      <c r="B761" s="8"/>
      <c r="H761" s="8"/>
    </row>
    <row r="762">
      <c r="B762" s="8"/>
      <c r="H762" s="8"/>
    </row>
    <row r="763">
      <c r="B763" s="8"/>
      <c r="H763" s="8"/>
    </row>
    <row r="764">
      <c r="B764" s="8"/>
      <c r="H764" s="8"/>
    </row>
    <row r="765">
      <c r="B765" s="8"/>
      <c r="H765" s="8"/>
    </row>
    <row r="766">
      <c r="B766" s="8"/>
      <c r="H766" s="8"/>
    </row>
    <row r="767">
      <c r="B767" s="8"/>
      <c r="H767" s="8"/>
    </row>
    <row r="768">
      <c r="B768" s="8"/>
      <c r="H768" s="8"/>
    </row>
    <row r="769">
      <c r="B769" s="8"/>
      <c r="H769" s="8"/>
    </row>
    <row r="770">
      <c r="B770" s="8"/>
      <c r="H770" s="8"/>
    </row>
    <row r="771">
      <c r="B771" s="8"/>
      <c r="H771" s="8"/>
    </row>
    <row r="772">
      <c r="B772" s="8"/>
      <c r="H772" s="8"/>
    </row>
    <row r="773">
      <c r="B773" s="8"/>
      <c r="H773" s="8"/>
    </row>
    <row r="774">
      <c r="B774" s="8"/>
      <c r="H774" s="8"/>
    </row>
    <row r="775">
      <c r="B775" s="8"/>
      <c r="H775" s="8"/>
    </row>
    <row r="776">
      <c r="B776" s="8"/>
      <c r="H776" s="8"/>
    </row>
    <row r="777">
      <c r="B777" s="8"/>
      <c r="H777" s="8"/>
    </row>
    <row r="778">
      <c r="B778" s="8"/>
      <c r="H778" s="8"/>
    </row>
    <row r="779">
      <c r="B779" s="8"/>
      <c r="H779" s="8"/>
    </row>
    <row r="780">
      <c r="B780" s="8"/>
      <c r="H780" s="8"/>
    </row>
    <row r="781">
      <c r="B781" s="8"/>
      <c r="H781" s="8"/>
    </row>
    <row r="782">
      <c r="B782" s="8"/>
      <c r="H782" s="8"/>
    </row>
    <row r="783">
      <c r="B783" s="8"/>
      <c r="H783" s="8"/>
    </row>
    <row r="784">
      <c r="B784" s="8"/>
      <c r="H784" s="8"/>
    </row>
    <row r="785">
      <c r="B785" s="8"/>
      <c r="H785" s="8"/>
    </row>
    <row r="786">
      <c r="B786" s="8"/>
      <c r="H786" s="8"/>
    </row>
    <row r="787">
      <c r="B787" s="8"/>
      <c r="H787" s="8"/>
    </row>
    <row r="788">
      <c r="B788" s="8"/>
      <c r="H788" s="8"/>
    </row>
    <row r="789">
      <c r="B789" s="8"/>
      <c r="H789" s="8"/>
    </row>
    <row r="790">
      <c r="B790" s="8"/>
      <c r="H790" s="8"/>
    </row>
    <row r="791">
      <c r="B791" s="8"/>
      <c r="H791" s="8"/>
    </row>
    <row r="792">
      <c r="B792" s="8"/>
      <c r="H792" s="8"/>
    </row>
    <row r="793">
      <c r="B793" s="8"/>
      <c r="H793" s="8"/>
    </row>
    <row r="794">
      <c r="B794" s="8"/>
      <c r="H794" s="8"/>
    </row>
    <row r="795">
      <c r="B795" s="8"/>
      <c r="H795" s="8"/>
    </row>
    <row r="796">
      <c r="B796" s="8"/>
      <c r="H796" s="8"/>
    </row>
    <row r="797">
      <c r="B797" s="8"/>
      <c r="H797" s="8"/>
    </row>
    <row r="798">
      <c r="B798" s="8"/>
      <c r="H798" s="8"/>
    </row>
    <row r="799">
      <c r="B799" s="8"/>
      <c r="H799" s="8"/>
    </row>
    <row r="800">
      <c r="B800" s="8"/>
      <c r="H800" s="8"/>
    </row>
    <row r="801">
      <c r="B801" s="8"/>
      <c r="H801" s="8"/>
    </row>
    <row r="802">
      <c r="B802" s="8"/>
      <c r="H802" s="8"/>
    </row>
    <row r="803">
      <c r="B803" s="8"/>
      <c r="H803" s="8"/>
    </row>
    <row r="804">
      <c r="B804" s="8"/>
      <c r="H804" s="8"/>
    </row>
    <row r="805">
      <c r="B805" s="8"/>
      <c r="H805" s="8"/>
    </row>
    <row r="806">
      <c r="B806" s="8"/>
      <c r="H806" s="8"/>
    </row>
    <row r="807">
      <c r="B807" s="8"/>
      <c r="H807" s="8"/>
    </row>
    <row r="808">
      <c r="B808" s="8"/>
      <c r="H808" s="8"/>
    </row>
    <row r="809">
      <c r="B809" s="8"/>
      <c r="H809" s="8"/>
    </row>
    <row r="810">
      <c r="B810" s="8"/>
      <c r="H810" s="8"/>
    </row>
    <row r="811">
      <c r="B811" s="8"/>
      <c r="H811" s="8"/>
    </row>
    <row r="812">
      <c r="B812" s="8"/>
      <c r="H812" s="8"/>
    </row>
    <row r="813">
      <c r="B813" s="8"/>
      <c r="H813" s="8"/>
    </row>
    <row r="814">
      <c r="B814" s="8"/>
      <c r="H814" s="8"/>
    </row>
    <row r="815">
      <c r="B815" s="8"/>
      <c r="H815" s="8"/>
    </row>
    <row r="816">
      <c r="B816" s="8"/>
      <c r="H816" s="8"/>
    </row>
    <row r="817">
      <c r="B817" s="8"/>
      <c r="H817" s="8"/>
    </row>
    <row r="818">
      <c r="B818" s="8"/>
      <c r="H818" s="8"/>
    </row>
    <row r="819">
      <c r="B819" s="8"/>
      <c r="H819" s="8"/>
    </row>
    <row r="820">
      <c r="B820" s="8"/>
      <c r="H820" s="8"/>
    </row>
    <row r="821">
      <c r="B821" s="8"/>
      <c r="H821" s="8"/>
    </row>
    <row r="822">
      <c r="B822" s="8"/>
      <c r="H822" s="8"/>
    </row>
    <row r="823">
      <c r="B823" s="8"/>
      <c r="H823" s="8"/>
    </row>
    <row r="824">
      <c r="B824" s="8"/>
      <c r="H824" s="8"/>
    </row>
    <row r="825">
      <c r="B825" s="8"/>
      <c r="H825" s="8"/>
    </row>
    <row r="826">
      <c r="B826" s="8"/>
      <c r="H826" s="8"/>
    </row>
    <row r="827">
      <c r="B827" s="8"/>
      <c r="H827" s="8"/>
    </row>
    <row r="828">
      <c r="B828" s="8"/>
      <c r="H828" s="8"/>
    </row>
    <row r="829">
      <c r="B829" s="8"/>
      <c r="H829" s="8"/>
    </row>
    <row r="830">
      <c r="B830" s="8"/>
      <c r="H830" s="8"/>
    </row>
    <row r="831">
      <c r="B831" s="8"/>
      <c r="H831" s="8"/>
    </row>
    <row r="832">
      <c r="B832" s="8"/>
      <c r="H832" s="8"/>
    </row>
    <row r="833">
      <c r="B833" s="8"/>
      <c r="H833" s="8"/>
    </row>
    <row r="834">
      <c r="B834" s="8"/>
      <c r="H834" s="8"/>
    </row>
    <row r="835">
      <c r="B835" s="8"/>
      <c r="H835" s="8"/>
    </row>
    <row r="836">
      <c r="B836" s="8"/>
      <c r="H836" s="8"/>
    </row>
    <row r="837">
      <c r="B837" s="8"/>
      <c r="H837" s="8"/>
    </row>
    <row r="838">
      <c r="B838" s="8"/>
      <c r="H838" s="8"/>
    </row>
    <row r="839">
      <c r="B839" s="8"/>
      <c r="H839" s="8"/>
    </row>
    <row r="840">
      <c r="B840" s="8"/>
      <c r="H840" s="8"/>
    </row>
    <row r="841">
      <c r="B841" s="8"/>
      <c r="H841" s="8"/>
    </row>
    <row r="842">
      <c r="B842" s="8"/>
      <c r="H842" s="8"/>
    </row>
    <row r="843">
      <c r="B843" s="8"/>
      <c r="H843" s="8"/>
    </row>
    <row r="844">
      <c r="B844" s="8"/>
      <c r="H844" s="8"/>
    </row>
    <row r="845">
      <c r="B845" s="8"/>
      <c r="H845" s="8"/>
    </row>
    <row r="846">
      <c r="B846" s="8"/>
      <c r="H846" s="8"/>
    </row>
    <row r="847">
      <c r="B847" s="8"/>
      <c r="H847" s="8"/>
    </row>
    <row r="848">
      <c r="B848" s="8"/>
      <c r="H848" s="8"/>
    </row>
    <row r="849">
      <c r="B849" s="8"/>
      <c r="H849" s="8"/>
    </row>
    <row r="850">
      <c r="B850" s="8"/>
      <c r="H850" s="8"/>
    </row>
    <row r="851">
      <c r="B851" s="8"/>
      <c r="H851" s="8"/>
    </row>
    <row r="852">
      <c r="B852" s="8"/>
      <c r="H852" s="8"/>
    </row>
    <row r="853">
      <c r="B853" s="8"/>
      <c r="H853" s="8"/>
    </row>
    <row r="854">
      <c r="B854" s="8"/>
      <c r="H854" s="8"/>
    </row>
    <row r="855">
      <c r="B855" s="8"/>
      <c r="H855" s="8"/>
    </row>
    <row r="856">
      <c r="B856" s="8"/>
      <c r="H856" s="8"/>
    </row>
    <row r="857">
      <c r="B857" s="8"/>
      <c r="H857" s="8"/>
    </row>
    <row r="858">
      <c r="B858" s="8"/>
      <c r="H858" s="8"/>
    </row>
    <row r="859">
      <c r="B859" s="8"/>
      <c r="H859" s="8"/>
    </row>
    <row r="860">
      <c r="B860" s="8"/>
      <c r="H860" s="8"/>
    </row>
    <row r="861">
      <c r="B861" s="8"/>
      <c r="H861" s="8"/>
    </row>
    <row r="862">
      <c r="B862" s="8"/>
      <c r="H862" s="8"/>
    </row>
    <row r="863">
      <c r="B863" s="8"/>
      <c r="H863" s="8"/>
    </row>
    <row r="864">
      <c r="B864" s="8"/>
      <c r="H864" s="8"/>
    </row>
    <row r="865">
      <c r="B865" s="8"/>
      <c r="H865" s="8"/>
    </row>
    <row r="866">
      <c r="B866" s="8"/>
      <c r="H866" s="8"/>
    </row>
    <row r="867">
      <c r="B867" s="8"/>
      <c r="H867" s="8"/>
    </row>
    <row r="868">
      <c r="B868" s="8"/>
      <c r="H868" s="8"/>
    </row>
    <row r="869">
      <c r="B869" s="8"/>
      <c r="H869" s="8"/>
    </row>
    <row r="870">
      <c r="B870" s="8"/>
      <c r="H870" s="8"/>
    </row>
    <row r="871">
      <c r="B871" s="8"/>
      <c r="H871" s="8"/>
    </row>
    <row r="872">
      <c r="B872" s="8"/>
      <c r="H872" s="8"/>
    </row>
    <row r="873">
      <c r="B873" s="8"/>
      <c r="H873" s="8"/>
    </row>
    <row r="874">
      <c r="B874" s="8"/>
      <c r="H874" s="8"/>
    </row>
    <row r="875">
      <c r="B875" s="8"/>
      <c r="H875" s="8"/>
    </row>
    <row r="876">
      <c r="B876" s="8"/>
      <c r="H876" s="8"/>
    </row>
    <row r="877">
      <c r="B877" s="8"/>
      <c r="H877" s="8"/>
    </row>
    <row r="878">
      <c r="B878" s="8"/>
      <c r="H878" s="8"/>
    </row>
    <row r="879">
      <c r="B879" s="8"/>
      <c r="H879" s="8"/>
    </row>
    <row r="880">
      <c r="B880" s="8"/>
      <c r="H880" s="8"/>
    </row>
    <row r="881">
      <c r="B881" s="8"/>
      <c r="H881" s="8"/>
    </row>
    <row r="882">
      <c r="B882" s="8"/>
      <c r="H882" s="8"/>
    </row>
    <row r="883">
      <c r="B883" s="8"/>
      <c r="H883" s="8"/>
    </row>
    <row r="884">
      <c r="B884" s="8"/>
      <c r="H884" s="8"/>
    </row>
    <row r="885">
      <c r="B885" s="8"/>
      <c r="H885" s="8"/>
    </row>
    <row r="886">
      <c r="B886" s="8"/>
      <c r="H886" s="8"/>
    </row>
    <row r="887">
      <c r="B887" s="8"/>
      <c r="H887" s="8"/>
    </row>
    <row r="888">
      <c r="B888" s="8"/>
      <c r="H888" s="8"/>
    </row>
    <row r="889">
      <c r="B889" s="8"/>
      <c r="H889" s="8"/>
    </row>
    <row r="890">
      <c r="B890" s="8"/>
      <c r="H890" s="8"/>
    </row>
    <row r="891">
      <c r="B891" s="8"/>
      <c r="H891" s="8"/>
    </row>
    <row r="892">
      <c r="B892" s="8"/>
      <c r="H892" s="8"/>
    </row>
    <row r="893">
      <c r="B893" s="8"/>
      <c r="H893" s="8"/>
    </row>
    <row r="894">
      <c r="B894" s="8"/>
      <c r="H894" s="8"/>
    </row>
    <row r="895">
      <c r="B895" s="8"/>
      <c r="H895" s="8"/>
    </row>
    <row r="896">
      <c r="B896" s="8"/>
      <c r="H896" s="8"/>
    </row>
    <row r="897">
      <c r="B897" s="8"/>
      <c r="H897" s="8"/>
    </row>
    <row r="898">
      <c r="B898" s="8"/>
      <c r="H898" s="8"/>
    </row>
    <row r="899">
      <c r="B899" s="8"/>
      <c r="H899" s="8"/>
    </row>
    <row r="900">
      <c r="B900" s="8"/>
      <c r="H900" s="8"/>
    </row>
    <row r="901">
      <c r="B901" s="8"/>
      <c r="H901" s="8"/>
    </row>
    <row r="902">
      <c r="B902" s="8"/>
      <c r="H902" s="8"/>
    </row>
    <row r="903">
      <c r="B903" s="8"/>
      <c r="H903" s="8"/>
    </row>
    <row r="904">
      <c r="B904" s="8"/>
      <c r="H904" s="8"/>
    </row>
    <row r="905">
      <c r="B905" s="8"/>
      <c r="H905" s="8"/>
    </row>
    <row r="906">
      <c r="B906" s="8"/>
      <c r="H906" s="8"/>
    </row>
    <row r="907">
      <c r="B907" s="8"/>
      <c r="H907" s="8"/>
    </row>
    <row r="908">
      <c r="B908" s="8"/>
      <c r="H908" s="8"/>
    </row>
    <row r="909">
      <c r="B909" s="8"/>
      <c r="H909" s="8"/>
    </row>
    <row r="910">
      <c r="B910" s="8"/>
      <c r="H910" s="8"/>
    </row>
    <row r="911">
      <c r="B911" s="8"/>
      <c r="H911" s="8"/>
    </row>
    <row r="912">
      <c r="B912" s="8"/>
      <c r="H912" s="8"/>
    </row>
    <row r="913">
      <c r="B913" s="8"/>
      <c r="H913" s="8"/>
    </row>
    <row r="914">
      <c r="B914" s="8"/>
      <c r="H914" s="8"/>
    </row>
    <row r="915">
      <c r="B915" s="8"/>
      <c r="H915" s="8"/>
    </row>
    <row r="916">
      <c r="B916" s="8"/>
      <c r="H916" s="8"/>
    </row>
    <row r="917">
      <c r="B917" s="8"/>
      <c r="H917" s="8"/>
    </row>
    <row r="918">
      <c r="B918" s="8"/>
      <c r="H918" s="8"/>
    </row>
    <row r="919">
      <c r="B919" s="8"/>
      <c r="H919" s="8"/>
    </row>
    <row r="920">
      <c r="B920" s="8"/>
      <c r="H920" s="8"/>
    </row>
    <row r="921">
      <c r="B921" s="8"/>
      <c r="H921" s="8"/>
    </row>
    <row r="922">
      <c r="B922" s="8"/>
      <c r="H922" s="8"/>
    </row>
    <row r="923">
      <c r="B923" s="8"/>
      <c r="H923" s="8"/>
    </row>
    <row r="924">
      <c r="B924" s="8"/>
      <c r="H924" s="8"/>
    </row>
    <row r="925">
      <c r="B925" s="8"/>
      <c r="H925" s="8"/>
    </row>
    <row r="926">
      <c r="B926" s="8"/>
      <c r="H926" s="8"/>
    </row>
    <row r="927">
      <c r="B927" s="8"/>
      <c r="H927" s="8"/>
    </row>
    <row r="928">
      <c r="B928" s="8"/>
      <c r="H928" s="8"/>
    </row>
    <row r="929">
      <c r="B929" s="8"/>
      <c r="H929" s="8"/>
    </row>
    <row r="930">
      <c r="B930" s="8"/>
      <c r="H930" s="8"/>
    </row>
    <row r="931">
      <c r="B931" s="8"/>
      <c r="H931" s="8"/>
    </row>
    <row r="932">
      <c r="B932" s="8"/>
      <c r="H932" s="8"/>
    </row>
    <row r="933">
      <c r="B933" s="8"/>
      <c r="H933" s="8"/>
    </row>
    <row r="934">
      <c r="B934" s="8"/>
      <c r="H934" s="8"/>
    </row>
    <row r="935">
      <c r="B935" s="8"/>
      <c r="H935" s="8"/>
    </row>
    <row r="936">
      <c r="B936" s="8"/>
      <c r="H936" s="8"/>
    </row>
    <row r="937">
      <c r="B937" s="8"/>
      <c r="H937" s="8"/>
    </row>
    <row r="938">
      <c r="B938" s="8"/>
      <c r="H938" s="8"/>
    </row>
    <row r="939">
      <c r="B939" s="8"/>
      <c r="H939" s="8"/>
    </row>
    <row r="940">
      <c r="B940" s="8"/>
      <c r="H940" s="8"/>
    </row>
    <row r="941">
      <c r="B941" s="8"/>
      <c r="H941" s="8"/>
    </row>
    <row r="942">
      <c r="B942" s="8"/>
      <c r="H942" s="8"/>
    </row>
    <row r="943">
      <c r="B943" s="8"/>
      <c r="H943" s="8"/>
    </row>
    <row r="944">
      <c r="B944" s="8"/>
      <c r="H944" s="8"/>
    </row>
    <row r="945">
      <c r="B945" s="8"/>
      <c r="H945" s="8"/>
    </row>
    <row r="946">
      <c r="B946" s="8"/>
      <c r="H946" s="8"/>
    </row>
    <row r="947">
      <c r="B947" s="8"/>
      <c r="H947" s="8"/>
    </row>
    <row r="948">
      <c r="B948" s="8"/>
      <c r="H948" s="8"/>
    </row>
    <row r="949">
      <c r="B949" s="8"/>
      <c r="H949" s="8"/>
    </row>
    <row r="950">
      <c r="B950" s="8"/>
      <c r="H950" s="8"/>
    </row>
    <row r="951">
      <c r="B951" s="8"/>
      <c r="H951" s="8"/>
    </row>
    <row r="952">
      <c r="B952" s="8"/>
      <c r="H952" s="8"/>
    </row>
    <row r="953">
      <c r="B953" s="8"/>
      <c r="H953" s="8"/>
    </row>
    <row r="954">
      <c r="B954" s="8"/>
      <c r="H954" s="8"/>
    </row>
    <row r="955">
      <c r="B955" s="8"/>
      <c r="H955" s="8"/>
    </row>
    <row r="956">
      <c r="B956" s="8"/>
      <c r="H956" s="8"/>
    </row>
    <row r="957">
      <c r="B957" s="8"/>
      <c r="H957" s="8"/>
    </row>
    <row r="958">
      <c r="B958" s="8"/>
      <c r="H958" s="8"/>
    </row>
    <row r="959">
      <c r="B959" s="8"/>
      <c r="H959" s="8"/>
    </row>
    <row r="960">
      <c r="B960" s="8"/>
      <c r="H960" s="8"/>
    </row>
    <row r="961">
      <c r="B961" s="8"/>
      <c r="H961" s="8"/>
    </row>
    <row r="962">
      <c r="B962" s="8"/>
      <c r="H962" s="8"/>
    </row>
    <row r="963">
      <c r="B963" s="8"/>
      <c r="H963" s="8"/>
    </row>
    <row r="964">
      <c r="B964" s="8"/>
      <c r="H964" s="8"/>
    </row>
    <row r="965">
      <c r="B965" s="8"/>
      <c r="H965" s="8"/>
    </row>
    <row r="966">
      <c r="B966" s="8"/>
      <c r="H966" s="8"/>
    </row>
    <row r="967">
      <c r="B967" s="8"/>
      <c r="H967" s="8"/>
    </row>
    <row r="968">
      <c r="B968" s="8"/>
      <c r="H968" s="8"/>
    </row>
    <row r="969">
      <c r="B969" s="8"/>
      <c r="H969" s="8"/>
    </row>
    <row r="970">
      <c r="B970" s="8"/>
      <c r="H970" s="8"/>
    </row>
    <row r="971">
      <c r="B971" s="8"/>
      <c r="H971" s="8"/>
    </row>
    <row r="972">
      <c r="B972" s="8"/>
      <c r="H972" s="8"/>
    </row>
    <row r="973">
      <c r="B973" s="8"/>
      <c r="H973" s="8"/>
    </row>
    <row r="974">
      <c r="B974" s="8"/>
      <c r="H974" s="8"/>
    </row>
    <row r="975">
      <c r="B975" s="8"/>
      <c r="H975" s="8"/>
    </row>
    <row r="976">
      <c r="B976" s="8"/>
      <c r="H976" s="8"/>
    </row>
    <row r="977">
      <c r="B977" s="8"/>
      <c r="H977" s="8"/>
    </row>
    <row r="978">
      <c r="B978" s="8"/>
      <c r="H978" s="8"/>
    </row>
    <row r="979">
      <c r="B979" s="8"/>
      <c r="H979" s="8"/>
    </row>
    <row r="980">
      <c r="B980" s="8"/>
      <c r="H980" s="8"/>
    </row>
    <row r="981">
      <c r="B981" s="8"/>
      <c r="H981" s="8"/>
    </row>
    <row r="982">
      <c r="B982" s="8"/>
      <c r="H982" s="8"/>
    </row>
    <row r="983">
      <c r="B983" s="8"/>
      <c r="H983" s="8"/>
    </row>
    <row r="984">
      <c r="B984" s="8"/>
      <c r="H984" s="8"/>
    </row>
    <row r="985">
      <c r="B985" s="8"/>
      <c r="H985" s="8"/>
    </row>
    <row r="986">
      <c r="B986" s="8"/>
      <c r="H986" s="8"/>
    </row>
    <row r="987">
      <c r="B987" s="8"/>
      <c r="H987" s="8"/>
    </row>
    <row r="988">
      <c r="B988" s="8"/>
      <c r="H988" s="8"/>
    </row>
    <row r="989">
      <c r="B989" s="8"/>
      <c r="H989" s="8"/>
    </row>
    <row r="990">
      <c r="B990" s="8"/>
      <c r="H990" s="8"/>
    </row>
    <row r="991">
      <c r="B991" s="8"/>
      <c r="H991" s="8"/>
    </row>
    <row r="992">
      <c r="B992" s="8"/>
      <c r="H992" s="8"/>
    </row>
    <row r="993">
      <c r="B993" s="8"/>
      <c r="H993" s="8"/>
    </row>
    <row r="994">
      <c r="B994" s="8"/>
      <c r="H994" s="8"/>
    </row>
    <row r="995">
      <c r="B995" s="8"/>
      <c r="H995" s="8"/>
    </row>
    <row r="996">
      <c r="B996" s="8"/>
      <c r="H996" s="8"/>
    </row>
    <row r="997">
      <c r="B997" s="8"/>
      <c r="H997" s="8"/>
    </row>
    <row r="998">
      <c r="B998" s="8"/>
      <c r="H998" s="8"/>
    </row>
    <row r="999">
      <c r="B999" s="8"/>
      <c r="H999" s="8"/>
    </row>
    <row r="1000">
      <c r="B1000" s="8"/>
      <c r="H1000" s="8"/>
    </row>
    <row r="1001">
      <c r="B1001" s="8"/>
      <c r="H1001" s="8"/>
    </row>
    <row r="1002">
      <c r="B1002" s="8"/>
      <c r="H1002" s="8"/>
    </row>
    <row r="1003">
      <c r="B1003" s="8"/>
      <c r="H1003" s="8"/>
    </row>
    <row r="1004">
      <c r="B1004" s="8"/>
      <c r="H1004" s="8"/>
    </row>
    <row r="1005">
      <c r="B1005" s="8"/>
      <c r="H1005" s="8"/>
    </row>
    <row r="1006">
      <c r="B1006" s="8"/>
      <c r="H1006" s="8"/>
    </row>
    <row r="1007">
      <c r="B1007" s="8"/>
      <c r="H1007" s="8"/>
    </row>
  </sheetData>
  <dataValidations>
    <dataValidation type="list" allowBlank="1" sqref="G2:G50 G52 B59:B61">
      <formula1>Cuentas!$A$2:$A$28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16.38"/>
    <col customWidth="1" min="5" max="5" width="17.25"/>
  </cols>
  <sheetData>
    <row r="1">
      <c r="A1" s="2" t="s">
        <v>98</v>
      </c>
      <c r="B1" s="7" t="s">
        <v>238</v>
      </c>
      <c r="C1" s="106" t="s">
        <v>574</v>
      </c>
      <c r="D1" s="2" t="s">
        <v>239</v>
      </c>
      <c r="E1" s="2" t="s">
        <v>616</v>
      </c>
      <c r="F1" s="2" t="s">
        <v>576</v>
      </c>
      <c r="G1" s="2" t="s">
        <v>104</v>
      </c>
    </row>
    <row r="2">
      <c r="A2" s="2" t="s">
        <v>617</v>
      </c>
      <c r="B2" s="7">
        <v>4496.54</v>
      </c>
      <c r="C2" s="2" t="b">
        <v>1</v>
      </c>
      <c r="D2" s="2" t="b">
        <v>1</v>
      </c>
    </row>
    <row r="3">
      <c r="A3" s="2" t="s">
        <v>618</v>
      </c>
      <c r="B3" s="7">
        <v>1124.13</v>
      </c>
      <c r="C3" s="2" t="b">
        <v>1</v>
      </c>
      <c r="D3" s="2" t="b">
        <v>1</v>
      </c>
    </row>
    <row r="4">
      <c r="B4" s="8"/>
    </row>
    <row r="5">
      <c r="B5" s="8"/>
    </row>
    <row r="6">
      <c r="A6" s="2" t="s">
        <v>619</v>
      </c>
      <c r="B6" s="7"/>
      <c r="C6" s="106"/>
    </row>
    <row r="7">
      <c r="A7" s="64" t="s">
        <v>620</v>
      </c>
      <c r="B7" s="7">
        <v>1046.79</v>
      </c>
      <c r="C7" s="2" t="b">
        <v>1</v>
      </c>
      <c r="D7" s="2" t="b">
        <v>1</v>
      </c>
      <c r="E7" s="2" t="b">
        <v>0</v>
      </c>
      <c r="F7" s="2" t="b">
        <v>0</v>
      </c>
      <c r="G7" s="2" t="s">
        <v>110</v>
      </c>
      <c r="H7" s="8">
        <f t="shared" ref="H7:H15" si="1">B7*0.9</f>
        <v>942.111</v>
      </c>
    </row>
    <row r="8">
      <c r="A8" s="64" t="s">
        <v>621</v>
      </c>
      <c r="B8" s="7">
        <v>1300.0</v>
      </c>
      <c r="C8" s="2" t="b">
        <v>1</v>
      </c>
      <c r="D8" s="2" t="b">
        <v>1</v>
      </c>
      <c r="E8" s="2" t="b">
        <v>0</v>
      </c>
      <c r="F8" s="2" t="b">
        <v>0</v>
      </c>
      <c r="G8" s="2" t="s">
        <v>110</v>
      </c>
      <c r="H8" s="8">
        <f t="shared" si="1"/>
        <v>1170</v>
      </c>
    </row>
    <row r="9">
      <c r="A9" s="64" t="s">
        <v>622</v>
      </c>
      <c r="B9" s="7">
        <v>3507.0</v>
      </c>
      <c r="C9" s="2" t="b">
        <v>1</v>
      </c>
      <c r="D9" s="2" t="b">
        <v>1</v>
      </c>
      <c r="E9" s="2" t="b">
        <v>0</v>
      </c>
      <c r="F9" s="2" t="b">
        <v>0</v>
      </c>
      <c r="G9" s="2" t="s">
        <v>33</v>
      </c>
      <c r="H9" s="8">
        <f t="shared" si="1"/>
        <v>3156.3</v>
      </c>
    </row>
    <row r="10">
      <c r="A10" s="2" t="s">
        <v>623</v>
      </c>
      <c r="B10" s="7">
        <v>6263.5</v>
      </c>
      <c r="C10" s="2" t="b">
        <v>1</v>
      </c>
      <c r="D10" s="2" t="b">
        <v>1</v>
      </c>
      <c r="E10" s="2" t="b">
        <v>0</v>
      </c>
      <c r="F10" s="2" t="b">
        <v>0</v>
      </c>
      <c r="G10" s="2" t="s">
        <v>110</v>
      </c>
      <c r="H10" s="8">
        <f t="shared" si="1"/>
        <v>5637.15</v>
      </c>
    </row>
    <row r="11">
      <c r="A11" s="2" t="s">
        <v>624</v>
      </c>
      <c r="B11" s="7">
        <v>1300.0</v>
      </c>
      <c r="C11" s="2" t="b">
        <v>0</v>
      </c>
      <c r="D11" s="2" t="b">
        <v>1</v>
      </c>
      <c r="E11" s="2" t="b">
        <v>0</v>
      </c>
      <c r="F11" s="2" t="b">
        <v>0</v>
      </c>
      <c r="G11" s="2" t="s">
        <v>110</v>
      </c>
      <c r="H11" s="8">
        <f t="shared" si="1"/>
        <v>1170</v>
      </c>
    </row>
    <row r="12">
      <c r="A12" s="2" t="s">
        <v>625</v>
      </c>
      <c r="B12" s="7">
        <v>2081.0</v>
      </c>
      <c r="C12" s="2" t="b">
        <v>1</v>
      </c>
      <c r="D12" s="2" t="b">
        <v>1</v>
      </c>
      <c r="E12" s="2" t="b">
        <v>0</v>
      </c>
      <c r="F12" s="2" t="b">
        <v>0</v>
      </c>
      <c r="G12" s="2" t="s">
        <v>110</v>
      </c>
      <c r="H12" s="8">
        <f t="shared" si="1"/>
        <v>1872.9</v>
      </c>
    </row>
    <row r="13">
      <c r="A13" s="2" t="s">
        <v>625</v>
      </c>
      <c r="B13" s="7">
        <v>754.0</v>
      </c>
      <c r="C13" s="2" t="b">
        <v>1</v>
      </c>
      <c r="D13" s="2" t="b">
        <v>0</v>
      </c>
      <c r="E13" s="2" t="b">
        <v>0</v>
      </c>
      <c r="F13" s="2" t="b">
        <v>0</v>
      </c>
      <c r="G13" s="2" t="s">
        <v>13</v>
      </c>
      <c r="H13" s="8">
        <f t="shared" si="1"/>
        <v>678.6</v>
      </c>
    </row>
    <row r="14">
      <c r="A14" s="2" t="s">
        <v>626</v>
      </c>
      <c r="B14" s="7">
        <v>1400.0</v>
      </c>
      <c r="C14" s="2" t="b">
        <v>0</v>
      </c>
      <c r="D14" s="2" t="b">
        <v>0</v>
      </c>
      <c r="E14" s="2" t="b">
        <v>0</v>
      </c>
      <c r="F14" s="2" t="b">
        <v>0</v>
      </c>
      <c r="G14" s="2" t="s">
        <v>110</v>
      </c>
      <c r="H14" s="8">
        <f t="shared" si="1"/>
        <v>1260</v>
      </c>
    </row>
    <row r="15">
      <c r="A15" s="2" t="s">
        <v>625</v>
      </c>
      <c r="B15" s="7">
        <v>3802.0</v>
      </c>
      <c r="C15" s="2" t="b">
        <v>0</v>
      </c>
      <c r="D15" s="2" t="b">
        <v>0</v>
      </c>
      <c r="E15" s="2" t="b">
        <v>0</v>
      </c>
      <c r="F15" s="2" t="b">
        <v>0</v>
      </c>
      <c r="G15" s="2" t="s">
        <v>33</v>
      </c>
      <c r="H15" s="8">
        <f t="shared" si="1"/>
        <v>3421.8</v>
      </c>
    </row>
    <row r="16">
      <c r="A16" s="2"/>
      <c r="B16" s="8"/>
      <c r="J16" s="8">
        <f>SUM(B7:B15)</f>
        <v>21454.29</v>
      </c>
    </row>
    <row r="17">
      <c r="A17" s="2" t="s">
        <v>627</v>
      </c>
      <c r="B17" s="8"/>
    </row>
    <row r="18">
      <c r="A18" s="2" t="s">
        <v>628</v>
      </c>
      <c r="B18" s="7">
        <v>4000.0</v>
      </c>
      <c r="C18" s="2" t="b">
        <v>1</v>
      </c>
      <c r="D18" s="2" t="b">
        <v>1</v>
      </c>
      <c r="E18" s="2" t="b">
        <v>0</v>
      </c>
      <c r="F18" s="2" t="b">
        <v>0</v>
      </c>
      <c r="G18" s="2" t="s">
        <v>110</v>
      </c>
      <c r="H18" s="8">
        <f t="shared" ref="H18:H20" si="2">B18*0.9</f>
        <v>3600</v>
      </c>
    </row>
    <row r="19">
      <c r="A19" s="2" t="s">
        <v>629</v>
      </c>
      <c r="B19" s="7">
        <v>1700.0</v>
      </c>
      <c r="C19" s="2" t="b">
        <v>1</v>
      </c>
      <c r="D19" s="2" t="b">
        <v>1</v>
      </c>
      <c r="E19" s="2" t="b">
        <v>0</v>
      </c>
      <c r="F19" s="2" t="b">
        <v>0</v>
      </c>
      <c r="G19" s="2" t="s">
        <v>110</v>
      </c>
      <c r="H19" s="8">
        <f t="shared" si="2"/>
        <v>1530</v>
      </c>
    </row>
    <row r="20">
      <c r="A20" s="2" t="s">
        <v>629</v>
      </c>
      <c r="B20" s="7">
        <v>1700.0</v>
      </c>
      <c r="C20" s="2" t="b">
        <v>1</v>
      </c>
      <c r="D20" s="2" t="b">
        <v>1</v>
      </c>
      <c r="E20" s="2" t="b">
        <v>0</v>
      </c>
      <c r="F20" s="2" t="b">
        <v>0</v>
      </c>
      <c r="G20" s="2" t="s">
        <v>110</v>
      </c>
      <c r="H20" s="8">
        <f t="shared" si="2"/>
        <v>1530</v>
      </c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99"/>
      <c r="C36" s="99" t="s">
        <v>396</v>
      </c>
      <c r="D36" s="99" t="s">
        <v>397</v>
      </c>
    </row>
    <row r="37">
      <c r="B37" s="42" t="s">
        <v>110</v>
      </c>
      <c r="C37" s="40">
        <f t="shared" ref="C37:C38" si="3">SUMIF(G$2:G32,B37,B$2:B32)</f>
        <v>20791.29</v>
      </c>
      <c r="D37" s="40">
        <f t="shared" ref="D37:D38" si="4">SUMIFS(B$2:B32,D$2:D32,false,G$2:G32,B37)</f>
        <v>1400</v>
      </c>
    </row>
    <row r="38">
      <c r="B38" s="42" t="s">
        <v>33</v>
      </c>
      <c r="C38" s="40">
        <f t="shared" si="3"/>
        <v>7309</v>
      </c>
      <c r="D38" s="40">
        <f t="shared" si="4"/>
        <v>3802</v>
      </c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  <row r="1002">
      <c r="B1002" s="8"/>
    </row>
    <row r="1003">
      <c r="B1003" s="8"/>
    </row>
    <row r="1004">
      <c r="B1004" s="8"/>
    </row>
  </sheetData>
  <dataValidations>
    <dataValidation type="list" allowBlank="1" sqref="G7:G15 G18:G20 B37:B38">
      <formula1>Cuentas!$A$2:$A$28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8.38"/>
    <col customWidth="1" min="2" max="2" width="22.38"/>
    <col customWidth="1" min="3" max="3" width="16.63"/>
    <col customWidth="1" min="4" max="4" width="14.63"/>
    <col customWidth="1" min="5" max="5" width="14.88"/>
    <col customWidth="1" min="6" max="7" width="15.88"/>
    <col customWidth="1" min="8" max="8" width="14.75"/>
    <col customWidth="1" min="14" max="14" width="14.0"/>
    <col customWidth="1" min="15" max="15" width="13.88"/>
  </cols>
  <sheetData>
    <row r="1" ht="25.5" customHeight="1">
      <c r="A1" s="59" t="s">
        <v>88</v>
      </c>
      <c r="B1" s="60" t="s">
        <v>89</v>
      </c>
      <c r="C1" s="60" t="s">
        <v>90</v>
      </c>
      <c r="D1" s="59" t="s">
        <v>91</v>
      </c>
      <c r="E1" s="59" t="s">
        <v>92</v>
      </c>
      <c r="F1" s="59" t="s">
        <v>93</v>
      </c>
      <c r="G1" s="107" t="s">
        <v>630</v>
      </c>
      <c r="H1" s="107" t="s">
        <v>631</v>
      </c>
      <c r="I1" s="108" t="s">
        <v>632</v>
      </c>
      <c r="J1" s="109" t="s">
        <v>633</v>
      </c>
      <c r="K1" s="109" t="s">
        <v>634</v>
      </c>
      <c r="L1" s="108" t="s">
        <v>635</v>
      </c>
      <c r="M1" s="110" t="s">
        <v>636</v>
      </c>
      <c r="N1" s="111" t="s">
        <v>637</v>
      </c>
      <c r="O1" s="111" t="s">
        <v>638</v>
      </c>
      <c r="P1" s="108" t="s">
        <v>639</v>
      </c>
      <c r="Q1" s="108" t="s">
        <v>640</v>
      </c>
      <c r="R1" s="108" t="s">
        <v>641</v>
      </c>
      <c r="S1" s="108" t="s">
        <v>642</v>
      </c>
      <c r="T1" s="108" t="s">
        <v>643</v>
      </c>
    </row>
    <row r="2" ht="22.5" customHeight="1">
      <c r="A2" s="61" t="s">
        <v>66</v>
      </c>
      <c r="B2" s="62" t="str">
        <f t="array" ref="B2">INDEX(Table3[CLABE], MATCH(A2, Table3[Nombre cuenta], 0))</f>
        <v>021180065930525793</v>
      </c>
      <c r="C2" s="62" t="str">
        <f t="array" ref="C2">INDEX(Table3[Codigo Referencia], MATCH(A2, Table3[Nombre cuenta], 0))</f>
        <v>0000011</v>
      </c>
      <c r="D2" s="62">
        <f>SUMIF(Actual!$I$3:$I$89, A2, Actual!$B$3:$B$89)</f>
        <v>39300</v>
      </c>
      <c r="E2" s="62">
        <f>SUMIF(Actual!$I$3:$I$89, A2, Actual!$C$3:$C$89)</f>
        <v>19650</v>
      </c>
      <c r="F2" s="63" t="b">
        <v>1</v>
      </c>
      <c r="G2" s="112" t="b">
        <v>1</v>
      </c>
      <c r="H2" s="112" t="b">
        <v>1</v>
      </c>
      <c r="I2" s="63" t="b">
        <v>1</v>
      </c>
      <c r="J2" s="63" t="b">
        <v>1</v>
      </c>
      <c r="K2" s="63" t="b">
        <v>1</v>
      </c>
      <c r="L2" s="63" t="b">
        <v>1</v>
      </c>
      <c r="M2" s="113" t="b">
        <v>1</v>
      </c>
      <c r="N2" s="114" t="b">
        <v>0</v>
      </c>
      <c r="O2" s="114" t="b">
        <v>0</v>
      </c>
      <c r="P2" s="115" t="b">
        <v>1</v>
      </c>
      <c r="Q2" s="115" t="b">
        <v>1</v>
      </c>
      <c r="R2" s="115" t="b">
        <v>1</v>
      </c>
      <c r="S2" s="115" t="b">
        <v>1</v>
      </c>
      <c r="T2" s="115" t="b">
        <v>1</v>
      </c>
    </row>
    <row r="3" ht="22.5" customHeight="1">
      <c r="A3" s="61" t="s">
        <v>14</v>
      </c>
      <c r="B3" s="62" t="str">
        <f t="array" ref="B3">INDEX(Table3[CLABE], MATCH(A3, Table3[Nombre cuenta], 0))</f>
        <v>138580000023894928</v>
      </c>
      <c r="C3" s="62" t="str">
        <f t="array" ref="C3">INDEX(Table3[Codigo Referencia], MATCH(A3, Table3[Nombre cuenta], 0))</f>
        <v>0000014</v>
      </c>
      <c r="D3" s="62">
        <f>SUMIF(Actual!$I$3:$I$89, A3, Actual!$B$3:$B$89)</f>
        <v>32800</v>
      </c>
      <c r="E3" s="62">
        <f>SUMIF(Actual!$I$3:$I$89, A3, Actual!$C$3:$C$89)</f>
        <v>16400</v>
      </c>
      <c r="F3" s="63" t="b">
        <v>1</v>
      </c>
      <c r="G3" s="112" t="b">
        <v>1</v>
      </c>
      <c r="H3" s="112" t="b">
        <v>1</v>
      </c>
      <c r="I3" s="63" t="b">
        <v>1</v>
      </c>
      <c r="J3" s="63" t="b">
        <v>1</v>
      </c>
      <c r="K3" s="63" t="b">
        <v>1</v>
      </c>
      <c r="L3" s="63" t="b">
        <v>1</v>
      </c>
      <c r="M3" s="116" t="b">
        <v>1</v>
      </c>
      <c r="N3" s="117" t="b">
        <v>1</v>
      </c>
      <c r="O3" s="117" t="b">
        <v>1</v>
      </c>
      <c r="P3" s="118" t="b">
        <v>1</v>
      </c>
      <c r="Q3" s="118" t="b">
        <v>1</v>
      </c>
      <c r="R3" s="118" t="b">
        <v>1</v>
      </c>
      <c r="S3" s="118" t="b">
        <v>1</v>
      </c>
      <c r="T3" s="118" t="b">
        <v>1</v>
      </c>
    </row>
    <row r="4" ht="22.5" customHeight="1">
      <c r="A4" s="61" t="s">
        <v>45</v>
      </c>
      <c r="B4" s="62" t="str">
        <f t="array" ref="B4">INDEX(Table3[CLABE], MATCH(A4, Table3[Nombre cuenta], 0))</f>
        <v>638180000177404193</v>
      </c>
      <c r="C4" s="62" t="str">
        <f t="array" ref="C4">INDEX(Table3[Codigo Referencia], MATCH(A4, Table3[Nombre cuenta], 0))</f>
        <v>0000016</v>
      </c>
      <c r="D4" s="62">
        <f>SUMIF(Actual!$I$3:$I$89, A4, Actual!$B$3:$B$89)</f>
        <v>23200</v>
      </c>
      <c r="E4" s="62">
        <f>SUMIF(Actual!$I$3:$I$89, A4, Actual!$C$3:$C$89)</f>
        <v>11600</v>
      </c>
      <c r="F4" s="63" t="b">
        <v>1</v>
      </c>
      <c r="G4" s="112" t="b">
        <v>1</v>
      </c>
      <c r="H4" s="112" t="b">
        <v>1</v>
      </c>
      <c r="I4" s="63" t="b">
        <v>1</v>
      </c>
      <c r="J4" s="63" t="b">
        <v>1</v>
      </c>
      <c r="K4" s="63" t="b">
        <v>1</v>
      </c>
      <c r="L4" s="63" t="b">
        <v>1</v>
      </c>
      <c r="M4" s="113" t="b">
        <v>1</v>
      </c>
      <c r="N4" s="114" t="b">
        <v>1</v>
      </c>
      <c r="O4" s="114" t="b">
        <v>1</v>
      </c>
      <c r="P4" s="115" t="b">
        <v>1</v>
      </c>
      <c r="Q4" s="115" t="b">
        <v>1</v>
      </c>
      <c r="R4" s="115" t="b">
        <v>1</v>
      </c>
      <c r="S4" s="115" t="b">
        <v>1</v>
      </c>
      <c r="T4" s="115" t="b">
        <v>1</v>
      </c>
    </row>
    <row r="5" ht="22.5" customHeight="1">
      <c r="A5" s="61" t="s">
        <v>56</v>
      </c>
      <c r="B5" s="62" t="str">
        <f t="array" ref="B5">INDEX(Table3[CLABE], MATCH(A5, Table3[Nombre cuenta], 0))</f>
        <v>638180000177404193</v>
      </c>
      <c r="C5" s="62" t="str">
        <f t="array" ref="C5">INDEX(Table3[Codigo Referencia], MATCH(A5, Table3[Nombre cuenta], 0))</f>
        <v>0000012</v>
      </c>
      <c r="D5" s="62">
        <f>SUMIF(Actual!$I$3:$I$89, A5, Actual!$B$3:$B$89)</f>
        <v>17500</v>
      </c>
      <c r="E5" s="62">
        <f>SUMIF(Actual!$I$3:$I$89, A5, Actual!$C$3:$C$89)</f>
        <v>8750</v>
      </c>
      <c r="F5" s="63" t="b">
        <v>0</v>
      </c>
      <c r="G5" s="112" t="b">
        <v>1</v>
      </c>
      <c r="H5" s="112" t="b">
        <v>1</v>
      </c>
      <c r="I5" s="63" t="b">
        <v>1</v>
      </c>
      <c r="J5" s="63" t="b">
        <v>1</v>
      </c>
      <c r="K5" s="63" t="b">
        <v>1</v>
      </c>
      <c r="L5" s="63" t="b">
        <v>1</v>
      </c>
      <c r="M5" s="116" t="b">
        <v>1</v>
      </c>
      <c r="N5" s="117" t="b">
        <v>1</v>
      </c>
      <c r="O5" s="117" t="b">
        <v>1</v>
      </c>
      <c r="P5" s="118" t="b">
        <v>1</v>
      </c>
      <c r="Q5" s="118" t="b">
        <v>1</v>
      </c>
      <c r="R5" s="118" t="b">
        <v>1</v>
      </c>
      <c r="S5" s="118" t="b">
        <v>1</v>
      </c>
      <c r="T5" s="118" t="b">
        <v>1</v>
      </c>
    </row>
    <row r="6" ht="22.5" customHeight="1">
      <c r="A6" s="61" t="s">
        <v>18</v>
      </c>
      <c r="B6" s="62" t="str">
        <f t="array" ref="B6">INDEX(Table3[CLABE], MATCH(A6, Table3[Nombre cuenta], 0))</f>
        <v>021180040690613986</v>
      </c>
      <c r="C6" s="62" t="str">
        <f t="array" ref="C6">INDEX(Table3[Codigo Referencia], MATCH(A6, Table3[Nombre cuenta], 0))</f>
        <v>0000001</v>
      </c>
      <c r="D6" s="62">
        <f>SUMIF(Actual!$I$3:$I$89, A6, Actual!$B$3:$B$89)</f>
        <v>10000</v>
      </c>
      <c r="E6" s="62">
        <f>SUMIF(Actual!$I$3:$I$89, A6, Actual!$C$3:$C$89)</f>
        <v>5000</v>
      </c>
      <c r="F6" s="63" t="b">
        <v>0</v>
      </c>
      <c r="G6" s="112" t="b">
        <v>1</v>
      </c>
      <c r="H6" s="112" t="b">
        <v>1</v>
      </c>
      <c r="I6" s="63" t="b">
        <v>1</v>
      </c>
      <c r="J6" s="63" t="b">
        <v>1</v>
      </c>
      <c r="K6" s="63" t="b">
        <v>1</v>
      </c>
      <c r="L6" s="63" t="b">
        <v>1</v>
      </c>
      <c r="M6" s="113" t="b">
        <v>1</v>
      </c>
      <c r="N6" s="114" t="b">
        <v>0</v>
      </c>
      <c r="O6" s="114" t="b">
        <v>0</v>
      </c>
      <c r="P6" s="115" t="b">
        <v>0</v>
      </c>
      <c r="Q6" s="115" t="b">
        <v>0</v>
      </c>
      <c r="R6" s="115" t="b">
        <v>0</v>
      </c>
      <c r="S6" s="115" t="b">
        <v>0</v>
      </c>
      <c r="T6" s="115" t="b">
        <v>0</v>
      </c>
    </row>
    <row r="7" ht="22.5" customHeight="1">
      <c r="A7" s="61" t="s">
        <v>31</v>
      </c>
      <c r="B7" s="62" t="str">
        <f t="array" ref="B7">INDEX(Table3[CLABE], MATCH(A7, Table3[Nombre cuenta], 0))</f>
        <v>638180000177404193</v>
      </c>
      <c r="C7" s="62" t="str">
        <f t="array" ref="C7">INDEX(Table3[Codigo Referencia], MATCH(A7, Table3[Nombre cuenta], 0))</f>
        <v>0000013</v>
      </c>
      <c r="D7" s="62">
        <f>SUMIF(Actual!$I$3:$I$89, A7, Actual!$B$3:$B$89)</f>
        <v>9900</v>
      </c>
      <c r="E7" s="62">
        <f>SUMIF(Actual!$I$3:$I$89, A7, Actual!$C$3:$C$89)</f>
        <v>4950</v>
      </c>
      <c r="F7" s="63" t="b">
        <v>0</v>
      </c>
      <c r="G7" s="112" t="b">
        <v>1</v>
      </c>
      <c r="H7" s="112" t="b">
        <v>1</v>
      </c>
      <c r="I7" s="63" t="b">
        <v>1</v>
      </c>
      <c r="J7" s="63" t="b">
        <v>1</v>
      </c>
      <c r="K7" s="63" t="b">
        <v>1</v>
      </c>
      <c r="L7" s="63" t="b">
        <v>1</v>
      </c>
      <c r="M7" s="116" t="b">
        <v>1</v>
      </c>
      <c r="N7" s="117" t="b">
        <v>1</v>
      </c>
      <c r="O7" s="117" t="b">
        <v>1</v>
      </c>
      <c r="P7" s="118" t="b">
        <v>1</v>
      </c>
      <c r="Q7" s="118" t="b">
        <v>1</v>
      </c>
      <c r="R7" s="118" t="b">
        <v>1</v>
      </c>
      <c r="S7" s="118" t="b">
        <v>1</v>
      </c>
      <c r="T7" s="118" t="b">
        <v>1</v>
      </c>
    </row>
    <row r="8" ht="22.5" customHeight="1">
      <c r="A8" s="61" t="s">
        <v>22</v>
      </c>
      <c r="B8" s="62" t="str">
        <f t="array" ref="B8">INDEX(Table3[CLABE], MATCH(A8, Table3[Nombre cuenta], 0))</f>
        <v>646180402300057567</v>
      </c>
      <c r="C8" s="62" t="str">
        <f t="array" ref="C8">INDEX(Table3[Codigo Referencia], MATCH(A8, Table3[Nombre cuenta], 0))</f>
        <v>0000015</v>
      </c>
      <c r="D8" s="62">
        <f>SUMIF(Actual!$I$3:$I$89, A8, Actual!$B$3:$B$89)</f>
        <v>4500</v>
      </c>
      <c r="E8" s="62">
        <f>SUMIF(Actual!$I$3:$I$89, A8, Actual!$C$3:$C$89)</f>
        <v>2250</v>
      </c>
      <c r="F8" s="63" t="b">
        <v>0</v>
      </c>
      <c r="G8" s="112" t="b">
        <v>1</v>
      </c>
      <c r="H8" s="112" t="b">
        <v>1</v>
      </c>
      <c r="I8" s="63" t="b">
        <v>1</v>
      </c>
      <c r="J8" s="63" t="b">
        <v>1</v>
      </c>
      <c r="K8" s="63" t="b">
        <v>1</v>
      </c>
      <c r="L8" s="63" t="b">
        <v>1</v>
      </c>
      <c r="M8" s="113" t="b">
        <v>1</v>
      </c>
      <c r="N8" s="114" t="b">
        <v>1</v>
      </c>
      <c r="O8" s="114" t="b">
        <v>1</v>
      </c>
      <c r="P8" s="115" t="b">
        <v>1</v>
      </c>
      <c r="Q8" s="115" t="b">
        <v>1</v>
      </c>
      <c r="R8" s="115" t="b">
        <v>1</v>
      </c>
      <c r="S8" s="115" t="b">
        <v>1</v>
      </c>
      <c r="T8" s="115" t="b">
        <v>1</v>
      </c>
    </row>
    <row r="9" ht="22.5" customHeight="1">
      <c r="A9" s="61" t="s">
        <v>87</v>
      </c>
      <c r="B9" s="62" t="str">
        <f t="array" ref="B9">INDEX(Table3[CLABE], MATCH(A9, Table3[Nombre cuenta], 0))</f>
        <v>638180010151893079</v>
      </c>
      <c r="C9" s="62" t="str">
        <f t="array" ref="C9">INDEX(Table3[Codigo Referencia], MATCH(A9, Table3[Nombre cuenta], 0))</f>
        <v>0000004</v>
      </c>
      <c r="D9" s="62">
        <f>SUMIF(Actual!$I$3:$I$89, A9, Actual!$B$3:$B$89)</f>
        <v>3700</v>
      </c>
      <c r="E9" s="62">
        <f>SUMIF(Actual!$I$3:$I$89, A9, Actual!$C$3:$C$89)</f>
        <v>1850</v>
      </c>
      <c r="F9" s="63" t="b">
        <v>0</v>
      </c>
      <c r="G9" s="112" t="b">
        <v>1</v>
      </c>
      <c r="H9" s="112" t="b">
        <v>1</v>
      </c>
      <c r="I9" s="63" t="b">
        <v>1</v>
      </c>
      <c r="J9" s="63" t="b">
        <v>1</v>
      </c>
      <c r="K9" s="63" t="b">
        <v>1</v>
      </c>
      <c r="L9" s="63" t="b">
        <v>1</v>
      </c>
      <c r="M9" s="116" t="b">
        <v>1</v>
      </c>
      <c r="N9" s="117" t="b">
        <v>1</v>
      </c>
      <c r="O9" s="117" t="b">
        <v>1</v>
      </c>
      <c r="P9" s="118" t="b">
        <v>1</v>
      </c>
      <c r="Q9" s="118" t="b">
        <v>1</v>
      </c>
      <c r="R9" s="118" t="b">
        <v>1</v>
      </c>
      <c r="S9" s="118" t="b">
        <v>1</v>
      </c>
      <c r="T9" s="118" t="b">
        <v>1</v>
      </c>
    </row>
    <row r="10" ht="22.5" customHeight="1">
      <c r="A10" s="61" t="s">
        <v>50</v>
      </c>
      <c r="B10" s="62" t="str">
        <f t="array" ref="B10">INDEX(Table3[CLABE], MATCH(A10, Table3[Nombre cuenta], 0))</f>
        <v>601180400038253515</v>
      </c>
      <c r="C10" s="62" t="str">
        <f t="array" ref="C10">INDEX(Table3[Codigo Referencia], MATCH(A10, Table3[Nombre cuenta], 0))</f>
        <v>0000104</v>
      </c>
      <c r="D10" s="62">
        <f>SUMIF(Actual!$I$3:$I$89, A10, Actual!$B$3:$B$89)</f>
        <v>500</v>
      </c>
      <c r="E10" s="62">
        <f>SUMIF(Actual!$I$3:$I$89, A10, Actual!$C$3:$C$89)</f>
        <v>250</v>
      </c>
      <c r="F10" s="63" t="b">
        <v>0</v>
      </c>
      <c r="G10" s="112" t="b">
        <v>1</v>
      </c>
      <c r="H10" s="112" t="b">
        <v>1</v>
      </c>
      <c r="I10" s="63" t="b">
        <v>1</v>
      </c>
      <c r="J10" s="63" t="b">
        <v>1</v>
      </c>
      <c r="K10" s="63" t="b">
        <v>1</v>
      </c>
      <c r="L10" s="63" t="b">
        <v>0</v>
      </c>
      <c r="M10" s="113" t="b">
        <v>1</v>
      </c>
      <c r="N10" s="114" t="b">
        <v>1</v>
      </c>
      <c r="O10" s="114" t="b">
        <v>1</v>
      </c>
      <c r="P10" s="115" t="b">
        <v>1</v>
      </c>
      <c r="Q10" s="115" t="b">
        <v>1</v>
      </c>
      <c r="R10" s="115" t="b">
        <v>1</v>
      </c>
      <c r="S10" s="115" t="b">
        <v>1</v>
      </c>
      <c r="T10" s="115" t="b">
        <v>1</v>
      </c>
    </row>
    <row r="11" ht="22.5" customHeight="1">
      <c r="A11" s="61" t="s">
        <v>52</v>
      </c>
      <c r="B11" s="62" t="str">
        <f t="array" ref="B11">INDEX(Table3[CLABE], MATCH(A11, Table3[Nombre cuenta], 0))</f>
        <v>601180400049499232</v>
      </c>
      <c r="C11" s="62" t="str">
        <f t="array" ref="C11">INDEX(Table3[Codigo Referencia], MATCH(A11, Table3[Nombre cuenta], 0))</f>
        <v>0000103</v>
      </c>
      <c r="D11" s="62">
        <f>SUMIF(Actual!$I$3:$I$89, A11, Actual!$B$3:$B$89)</f>
        <v>500</v>
      </c>
      <c r="E11" s="62">
        <f>SUMIF(Actual!$I$3:$I$89, A11, Actual!$C$3:$C$89)</f>
        <v>250</v>
      </c>
      <c r="F11" s="63" t="b">
        <v>0</v>
      </c>
      <c r="G11" s="112" t="b">
        <v>1</v>
      </c>
      <c r="H11" s="112" t="b">
        <v>1</v>
      </c>
      <c r="I11" s="63" t="b">
        <v>1</v>
      </c>
      <c r="J11" s="63" t="b">
        <v>1</v>
      </c>
      <c r="K11" s="63" t="b">
        <v>1</v>
      </c>
      <c r="L11" s="63" t="b">
        <v>1</v>
      </c>
      <c r="M11" s="119" t="b">
        <v>1</v>
      </c>
      <c r="N11" s="117" t="b">
        <v>1</v>
      </c>
      <c r="O11" s="117" t="b">
        <v>1</v>
      </c>
      <c r="P11" s="115" t="b">
        <v>1</v>
      </c>
      <c r="Q11" s="115" t="b">
        <v>1</v>
      </c>
      <c r="R11" s="115" t="b">
        <v>1</v>
      </c>
      <c r="S11" s="115" t="b">
        <v>1</v>
      </c>
      <c r="T11" s="115" t="b">
        <v>1</v>
      </c>
    </row>
    <row r="14">
      <c r="A14" s="2" t="s">
        <v>95</v>
      </c>
      <c r="C14" s="54" t="s">
        <v>96</v>
      </c>
      <c r="D14" s="58">
        <f>SUM(Current_transactions[Total Mensual])</f>
        <v>141900</v>
      </c>
      <c r="E14" s="58">
        <f>SUM(Current_transactions[Total quincenal])</f>
        <v>70950</v>
      </c>
      <c r="K14" s="14" t="s">
        <v>644</v>
      </c>
      <c r="L14" s="14" t="s">
        <v>5</v>
      </c>
    </row>
    <row r="15">
      <c r="J15" s="2" t="s">
        <v>27</v>
      </c>
      <c r="K15" s="8">
        <f>Actual!B16+Actual!B32+Actual!B40+Actual!B48+Actual!B60+Actual!B77+Actual!B85</f>
        <v>141900</v>
      </c>
      <c r="L15" s="8">
        <f>Actual!C16+Actual!C32+Actual!C40+Actual!C48+Actual!C60+Actual!C85+Actual!C77</f>
        <v>70950</v>
      </c>
    </row>
    <row r="26">
      <c r="D26" s="8">
        <f t="shared" ref="D26:E26" si="1">D14+5000</f>
        <v>146900</v>
      </c>
      <c r="E26" s="8">
        <f t="shared" si="1"/>
        <v>75950</v>
      </c>
      <c r="N26" s="2" t="s">
        <v>645</v>
      </c>
    </row>
  </sheetData>
  <dataValidations>
    <dataValidation type="custom" allowBlank="1" showDropDown="1" sqref="D2:E11">
      <formula1>AND(ISNUMBER(D2),(NOT(OR(NOT(ISERROR(DATEVALUE(D2))), AND(ISNUMBER(D2), LEFT(CELL("format", D2))="D")))))</formula1>
    </dataValidation>
    <dataValidation type="list" allowBlank="1" showErrorMessage="1" sqref="A2:A11">
      <formula1>Cuentas!$A$2:$A$29</formula1>
    </dataValidation>
    <dataValidation type="list" allowBlank="1" showErrorMessage="1" sqref="A2:A11">
      <formula1>#REF!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/>
  </sheetPr>
  <sheetViews>
    <sheetView workbookViewId="0"/>
  </sheetViews>
  <sheetFormatPr customHeight="1" defaultColWidth="12.63" defaultRowHeight="15.75" outlineLevelCol="1"/>
  <cols>
    <col customWidth="1" min="1" max="1" width="22.0"/>
    <col customWidth="1" min="2" max="2" width="17.25"/>
    <col customWidth="1" min="3" max="3" width="18.38"/>
    <col customWidth="1" min="4" max="4" width="17.25"/>
    <col customWidth="1" min="5" max="6" width="12.13" outlineLevel="1"/>
    <col customWidth="1" min="7" max="7" width="17.25" outlineLevel="1"/>
    <col customWidth="1" min="8" max="8" width="21.5"/>
    <col customWidth="1" min="9" max="9" width="24.13"/>
    <col customWidth="1" min="11" max="11" width="13.88"/>
    <col customWidth="1" min="16" max="16" width="14.25"/>
    <col customWidth="1" min="17" max="17" width="13.63"/>
    <col customWidth="1" min="18" max="18" width="15.5"/>
    <col customWidth="1" min="19" max="19" width="14.25"/>
    <col customWidth="1" min="20" max="20" width="18.0"/>
  </cols>
  <sheetData>
    <row r="1">
      <c r="A1" s="1" t="s">
        <v>0</v>
      </c>
      <c r="Q1" s="2" t="s">
        <v>1</v>
      </c>
      <c r="R1" s="2" t="s">
        <v>2</v>
      </c>
    </row>
    <row r="2">
      <c r="A2" s="3"/>
      <c r="B2" s="4"/>
      <c r="C2" s="4"/>
      <c r="D2" s="4"/>
      <c r="E2" s="4"/>
      <c r="F2" s="4"/>
      <c r="G2" s="4"/>
      <c r="H2" s="5"/>
      <c r="I2" s="6"/>
      <c r="Q2" s="7">
        <v>142000.0</v>
      </c>
      <c r="R2" s="8">
        <f>Q2/2</f>
        <v>71000</v>
      </c>
    </row>
    <row r="3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5" t="s">
        <v>10</v>
      </c>
      <c r="I3" s="6" t="s">
        <v>11</v>
      </c>
      <c r="R3" s="8"/>
    </row>
    <row r="4" ht="18.75" customHeight="1">
      <c r="A4" s="9" t="s">
        <v>12</v>
      </c>
      <c r="B4" s="10">
        <f t="shared" ref="B4:B14" si="1">CEILING(F4,100)</f>
        <v>15800</v>
      </c>
      <c r="C4" s="10">
        <f t="shared" ref="C4:C14" si="2">CEILING(B4/2, 10)</f>
        <v>7900</v>
      </c>
      <c r="D4" s="9" t="b">
        <f t="shared" ref="D4:D14" si="3">IF(E4&gt;0, true)</f>
        <v>0</v>
      </c>
      <c r="E4" s="10"/>
      <c r="F4" s="10">
        <v>15770.0</v>
      </c>
      <c r="G4" s="11"/>
      <c r="H4" s="9" t="s">
        <v>13</v>
      </c>
      <c r="I4" s="9" t="s">
        <v>14</v>
      </c>
      <c r="P4" s="2" t="s">
        <v>646</v>
      </c>
      <c r="R4" s="8"/>
    </row>
    <row r="5">
      <c r="A5" s="9" t="s">
        <v>15</v>
      </c>
      <c r="B5" s="10">
        <f t="shared" si="1"/>
        <v>8000</v>
      </c>
      <c r="C5" s="10">
        <f t="shared" si="2"/>
        <v>4000</v>
      </c>
      <c r="D5" s="9" t="b">
        <f t="shared" si="3"/>
        <v>0</v>
      </c>
      <c r="E5" s="10"/>
      <c r="F5" s="10">
        <v>7915.0</v>
      </c>
      <c r="G5" s="11"/>
      <c r="H5" s="9" t="s">
        <v>14</v>
      </c>
      <c r="I5" s="9" t="s">
        <v>14</v>
      </c>
      <c r="P5" s="2" t="s">
        <v>647</v>
      </c>
      <c r="Q5" s="8">
        <f>Q2*0.11</f>
        <v>15620</v>
      </c>
      <c r="R5" s="8">
        <f t="shared" ref="R5:R6" si="4">Q5/2</f>
        <v>7810</v>
      </c>
    </row>
    <row r="6">
      <c r="A6" s="9" t="s">
        <v>648</v>
      </c>
      <c r="B6" s="10">
        <f t="shared" si="1"/>
        <v>2200</v>
      </c>
      <c r="C6" s="10">
        <f t="shared" si="2"/>
        <v>1100</v>
      </c>
      <c r="D6" s="9" t="b">
        <f t="shared" si="3"/>
        <v>0</v>
      </c>
      <c r="E6" s="10"/>
      <c r="F6" s="10">
        <v>2200.0</v>
      </c>
      <c r="G6" s="11" t="s">
        <v>649</v>
      </c>
      <c r="H6" s="9" t="s">
        <v>14</v>
      </c>
      <c r="I6" s="9" t="s">
        <v>14</v>
      </c>
      <c r="P6" s="2" t="s">
        <v>650</v>
      </c>
      <c r="Q6" s="8">
        <f>Q2*0.09</f>
        <v>12780</v>
      </c>
      <c r="R6" s="8">
        <f t="shared" si="4"/>
        <v>6390</v>
      </c>
    </row>
    <row r="7">
      <c r="A7" s="9" t="s">
        <v>16</v>
      </c>
      <c r="B7" s="10">
        <f t="shared" si="1"/>
        <v>2000</v>
      </c>
      <c r="C7" s="10">
        <f t="shared" si="2"/>
        <v>1000</v>
      </c>
      <c r="D7" s="9" t="b">
        <f t="shared" si="3"/>
        <v>0</v>
      </c>
      <c r="E7" s="10"/>
      <c r="F7" s="10">
        <v>2000.0</v>
      </c>
      <c r="G7" s="11" t="s">
        <v>651</v>
      </c>
      <c r="H7" s="9" t="s">
        <v>13</v>
      </c>
      <c r="I7" s="9" t="s">
        <v>14</v>
      </c>
    </row>
    <row r="8">
      <c r="A8" s="9" t="s">
        <v>20</v>
      </c>
      <c r="B8" s="10">
        <f t="shared" si="1"/>
        <v>1700</v>
      </c>
      <c r="C8" s="10">
        <f t="shared" si="2"/>
        <v>850</v>
      </c>
      <c r="D8" s="9" t="b">
        <f t="shared" si="3"/>
        <v>1</v>
      </c>
      <c r="E8" s="10">
        <v>19500.0</v>
      </c>
      <c r="F8" s="10">
        <f>E8/12</f>
        <v>1625</v>
      </c>
      <c r="G8" s="11" t="s">
        <v>21</v>
      </c>
      <c r="H8" s="9" t="s">
        <v>13</v>
      </c>
      <c r="I8" s="9" t="s">
        <v>22</v>
      </c>
    </row>
    <row r="9">
      <c r="A9" s="9" t="s">
        <v>23</v>
      </c>
      <c r="B9" s="10">
        <f t="shared" si="1"/>
        <v>1300</v>
      </c>
      <c r="C9" s="10">
        <f t="shared" si="2"/>
        <v>650</v>
      </c>
      <c r="D9" s="9" t="b">
        <f t="shared" si="3"/>
        <v>0</v>
      </c>
      <c r="E9" s="10"/>
      <c r="F9" s="10">
        <v>1270.0</v>
      </c>
      <c r="G9" s="11" t="str">
        <f>Deuda!A23Vuelo</f>
        <v>#NAME?</v>
      </c>
      <c r="H9" s="9" t="s">
        <v>13</v>
      </c>
      <c r="I9" s="9" t="s">
        <v>14</v>
      </c>
    </row>
    <row r="10">
      <c r="A10" s="9" t="s">
        <v>652</v>
      </c>
      <c r="B10" s="10">
        <f t="shared" si="1"/>
        <v>1200</v>
      </c>
      <c r="C10" s="10">
        <f t="shared" si="2"/>
        <v>600</v>
      </c>
      <c r="D10" s="9" t="b">
        <f t="shared" si="3"/>
        <v>0</v>
      </c>
      <c r="E10" s="10"/>
      <c r="F10" s="10">
        <v>1200.0</v>
      </c>
      <c r="G10" s="11"/>
      <c r="H10" s="9" t="s">
        <v>87</v>
      </c>
      <c r="I10" s="9" t="s">
        <v>87</v>
      </c>
    </row>
    <row r="11">
      <c r="A11" s="9" t="s">
        <v>24</v>
      </c>
      <c r="B11" s="10">
        <f t="shared" si="1"/>
        <v>1300</v>
      </c>
      <c r="C11" s="10">
        <f t="shared" si="2"/>
        <v>650</v>
      </c>
      <c r="D11" s="9" t="b">
        <f t="shared" si="3"/>
        <v>0</v>
      </c>
      <c r="E11" s="10"/>
      <c r="F11" s="10">
        <v>1270.0</v>
      </c>
      <c r="G11" s="11"/>
      <c r="H11" s="9" t="s">
        <v>13</v>
      </c>
      <c r="I11" s="9" t="s">
        <v>14</v>
      </c>
      <c r="K11" s="2"/>
    </row>
    <row r="12">
      <c r="A12" s="9" t="s">
        <v>653</v>
      </c>
      <c r="B12" s="10">
        <f t="shared" si="1"/>
        <v>1100</v>
      </c>
      <c r="C12" s="10">
        <f t="shared" si="2"/>
        <v>550</v>
      </c>
      <c r="D12" s="9" t="b">
        <f t="shared" si="3"/>
        <v>0</v>
      </c>
      <c r="E12" s="10"/>
      <c r="F12" s="10">
        <f>CEILING(1100, 10)</f>
        <v>1100</v>
      </c>
      <c r="G12" s="11"/>
      <c r="H12" s="9" t="s">
        <v>13</v>
      </c>
      <c r="I12" s="9" t="s">
        <v>14</v>
      </c>
      <c r="K12" s="2"/>
      <c r="L12" s="2"/>
      <c r="M12" s="2"/>
      <c r="N12" s="2"/>
    </row>
    <row r="13">
      <c r="A13" s="9" t="s">
        <v>654</v>
      </c>
      <c r="B13" s="10">
        <f t="shared" si="1"/>
        <v>1100</v>
      </c>
      <c r="C13" s="10">
        <f t="shared" si="2"/>
        <v>550</v>
      </c>
      <c r="D13" s="9" t="b">
        <f t="shared" si="3"/>
        <v>0</v>
      </c>
      <c r="E13" s="10"/>
      <c r="F13" s="10">
        <v>1100.0</v>
      </c>
      <c r="G13" s="11"/>
      <c r="H13" s="9" t="s">
        <v>13</v>
      </c>
      <c r="I13" s="9" t="s">
        <v>14</v>
      </c>
      <c r="K13" s="2"/>
      <c r="L13" s="2"/>
      <c r="M13" s="2"/>
      <c r="N13" s="2"/>
    </row>
    <row r="14">
      <c r="A14" s="9" t="s">
        <v>26</v>
      </c>
      <c r="B14" s="10">
        <f t="shared" si="1"/>
        <v>800</v>
      </c>
      <c r="C14" s="10">
        <f t="shared" si="2"/>
        <v>400</v>
      </c>
      <c r="D14" s="9" t="b">
        <f t="shared" si="3"/>
        <v>1</v>
      </c>
      <c r="E14" s="10">
        <f>9500</f>
        <v>9500</v>
      </c>
      <c r="F14" s="10">
        <f>E14/12</f>
        <v>791.6666667</v>
      </c>
      <c r="G14" s="11"/>
      <c r="H14" s="9" t="s">
        <v>14</v>
      </c>
      <c r="I14" s="9" t="s">
        <v>22</v>
      </c>
      <c r="K14" s="2"/>
      <c r="L14" s="2"/>
      <c r="M14" s="2"/>
      <c r="N14" s="2"/>
      <c r="P14" s="12"/>
      <c r="Q14" s="12"/>
      <c r="R14" s="13"/>
      <c r="S14" s="13"/>
      <c r="T14" s="13"/>
      <c r="U14" s="13"/>
    </row>
    <row r="15">
      <c r="A15" s="2"/>
      <c r="B15" s="7"/>
      <c r="C15" s="7"/>
      <c r="E15" s="15"/>
      <c r="F15" s="15"/>
      <c r="G15" s="11"/>
      <c r="I15" s="16"/>
    </row>
    <row r="16">
      <c r="A16" s="14" t="s">
        <v>27</v>
      </c>
      <c r="B16" s="7">
        <f t="shared" ref="B16:C16" si="5">SUM(B3:B15)</f>
        <v>36500</v>
      </c>
      <c r="C16" s="7">
        <f t="shared" si="5"/>
        <v>18250</v>
      </c>
      <c r="E16" s="15"/>
      <c r="F16" s="15">
        <f>SUM(F3:F15)</f>
        <v>36241.66667</v>
      </c>
      <c r="G16" s="11"/>
      <c r="I16" s="16"/>
      <c r="L16" s="8">
        <f>E8+E23+E24+E26+E29+E28+E54+E55+E57+E73+E14</f>
        <v>62839</v>
      </c>
    </row>
    <row r="17">
      <c r="G17" s="17"/>
    </row>
    <row r="18">
      <c r="A18" s="18" t="s">
        <v>28</v>
      </c>
      <c r="C18" s="19"/>
      <c r="E18" s="20"/>
      <c r="F18" s="20"/>
      <c r="G18" s="21"/>
      <c r="I18" s="22"/>
    </row>
    <row r="19">
      <c r="A19" s="24"/>
      <c r="B19" s="25"/>
      <c r="C19" s="25"/>
      <c r="D19" s="26"/>
      <c r="E19" s="27"/>
      <c r="F19" s="27"/>
      <c r="G19" s="28"/>
      <c r="H19" s="26"/>
      <c r="I19" s="29"/>
    </row>
    <row r="20">
      <c r="A20" s="3" t="s">
        <v>3</v>
      </c>
      <c r="B20" s="4" t="s">
        <v>4</v>
      </c>
      <c r="C20" s="4" t="s">
        <v>5</v>
      </c>
      <c r="D20" s="4" t="s">
        <v>6</v>
      </c>
      <c r="E20" s="4"/>
      <c r="F20" s="4"/>
      <c r="G20" s="28"/>
      <c r="H20" s="5" t="s">
        <v>10</v>
      </c>
      <c r="I20" s="5" t="s">
        <v>29</v>
      </c>
    </row>
    <row r="21">
      <c r="A21" s="9" t="s">
        <v>30</v>
      </c>
      <c r="B21" s="30">
        <f t="shared" ref="B21:B30" si="6">CEILING(F21,100)</f>
        <v>3900</v>
      </c>
      <c r="C21" s="31">
        <f t="shared" ref="C21:C30" si="7">CEILING(B21/2, 10)</f>
        <v>1950</v>
      </c>
      <c r="D21" s="9" t="b">
        <f t="shared" ref="D21:D30" si="8">IF(E21&gt;0, true)</f>
        <v>0</v>
      </c>
      <c r="E21" s="10"/>
      <c r="F21" s="10">
        <v>3850.0</v>
      </c>
      <c r="G21" s="11"/>
      <c r="H21" s="9" t="s">
        <v>13</v>
      </c>
      <c r="I21" s="9" t="s">
        <v>31</v>
      </c>
    </row>
    <row r="22">
      <c r="A22" s="32" t="s">
        <v>32</v>
      </c>
      <c r="B22" s="30">
        <f t="shared" si="6"/>
        <v>400</v>
      </c>
      <c r="C22" s="31">
        <f t="shared" si="7"/>
        <v>200</v>
      </c>
      <c r="D22" s="9" t="b">
        <f t="shared" si="8"/>
        <v>0</v>
      </c>
      <c r="E22" s="33"/>
      <c r="F22" s="33">
        <v>350.0</v>
      </c>
      <c r="G22" s="34"/>
      <c r="H22" s="9" t="s">
        <v>33</v>
      </c>
      <c r="I22" s="9" t="s">
        <v>31</v>
      </c>
    </row>
    <row r="23">
      <c r="A23" s="32" t="s">
        <v>34</v>
      </c>
      <c r="B23" s="30">
        <f t="shared" si="6"/>
        <v>300</v>
      </c>
      <c r="C23" s="31">
        <f t="shared" si="7"/>
        <v>150</v>
      </c>
      <c r="D23" s="9" t="b">
        <f t="shared" si="8"/>
        <v>1</v>
      </c>
      <c r="E23" s="33">
        <v>3300.0</v>
      </c>
      <c r="F23" s="33">
        <f t="shared" ref="F23:F24" si="9">E23/12</f>
        <v>275</v>
      </c>
      <c r="G23" s="35"/>
      <c r="H23" s="9" t="s">
        <v>13</v>
      </c>
      <c r="I23" s="9" t="s">
        <v>22</v>
      </c>
    </row>
    <row r="24">
      <c r="A24" s="32" t="s">
        <v>35</v>
      </c>
      <c r="B24" s="30">
        <f t="shared" si="6"/>
        <v>200</v>
      </c>
      <c r="C24" s="31">
        <f t="shared" si="7"/>
        <v>100</v>
      </c>
      <c r="D24" s="9" t="b">
        <f t="shared" si="8"/>
        <v>1</v>
      </c>
      <c r="E24" s="33">
        <v>2400.0</v>
      </c>
      <c r="F24" s="33">
        <f t="shared" si="9"/>
        <v>200</v>
      </c>
      <c r="G24" s="34"/>
      <c r="H24" s="9" t="s">
        <v>33</v>
      </c>
      <c r="I24" s="9" t="s">
        <v>31</v>
      </c>
    </row>
    <row r="25">
      <c r="A25" s="36" t="s">
        <v>36</v>
      </c>
      <c r="B25" s="30">
        <f t="shared" si="6"/>
        <v>200</v>
      </c>
      <c r="C25" s="31">
        <f t="shared" si="7"/>
        <v>100</v>
      </c>
      <c r="D25" s="9" t="b">
        <f t="shared" si="8"/>
        <v>0</v>
      </c>
      <c r="E25" s="33"/>
      <c r="F25" s="33">
        <v>199.0</v>
      </c>
      <c r="G25" s="34"/>
      <c r="H25" s="9" t="s">
        <v>33</v>
      </c>
      <c r="I25" s="9" t="s">
        <v>31</v>
      </c>
    </row>
    <row r="26">
      <c r="A26" s="36" t="s">
        <v>37</v>
      </c>
      <c r="B26" s="30">
        <f t="shared" si="6"/>
        <v>200</v>
      </c>
      <c r="C26" s="31">
        <f t="shared" si="7"/>
        <v>100</v>
      </c>
      <c r="D26" s="9" t="b">
        <f t="shared" si="8"/>
        <v>1</v>
      </c>
      <c r="E26" s="30">
        <v>1990.0</v>
      </c>
      <c r="F26" s="30">
        <f>E26/12</f>
        <v>165.8333333</v>
      </c>
      <c r="G26" s="37"/>
      <c r="H26" s="9" t="s">
        <v>13</v>
      </c>
      <c r="I26" s="9" t="s">
        <v>22</v>
      </c>
    </row>
    <row r="27" ht="18.75" customHeight="1">
      <c r="A27" s="32" t="s">
        <v>38</v>
      </c>
      <c r="B27" s="30">
        <f t="shared" si="6"/>
        <v>200</v>
      </c>
      <c r="C27" s="31">
        <f t="shared" si="7"/>
        <v>100</v>
      </c>
      <c r="D27" s="9" t="b">
        <f t="shared" si="8"/>
        <v>0</v>
      </c>
      <c r="E27" s="31"/>
      <c r="F27" s="33">
        <v>130.0</v>
      </c>
      <c r="G27" s="35"/>
      <c r="H27" s="9" t="s">
        <v>13</v>
      </c>
      <c r="I27" s="9" t="s">
        <v>31</v>
      </c>
    </row>
    <row r="28" ht="21.0" customHeight="1">
      <c r="A28" s="32" t="s">
        <v>39</v>
      </c>
      <c r="B28" s="30">
        <f t="shared" si="6"/>
        <v>100</v>
      </c>
      <c r="C28" s="31">
        <f t="shared" si="7"/>
        <v>50</v>
      </c>
      <c r="D28" s="9" t="b">
        <f t="shared" si="8"/>
        <v>1</v>
      </c>
      <c r="E28" s="33">
        <v>899.0</v>
      </c>
      <c r="F28" s="33">
        <f t="shared" ref="F28:F29" si="10">E28/12</f>
        <v>74.91666667</v>
      </c>
      <c r="G28" s="35"/>
      <c r="H28" s="9" t="s">
        <v>13</v>
      </c>
      <c r="I28" s="9" t="s">
        <v>22</v>
      </c>
    </row>
    <row r="29" ht="20.25" customHeight="1">
      <c r="A29" s="32" t="s">
        <v>40</v>
      </c>
      <c r="B29" s="30">
        <f t="shared" si="6"/>
        <v>100</v>
      </c>
      <c r="C29" s="31">
        <f t="shared" si="7"/>
        <v>50</v>
      </c>
      <c r="D29" s="9" t="b">
        <f t="shared" si="8"/>
        <v>1</v>
      </c>
      <c r="E29" s="33">
        <v>750.0</v>
      </c>
      <c r="F29" s="33">
        <f t="shared" si="10"/>
        <v>62.5</v>
      </c>
      <c r="G29" s="35"/>
      <c r="H29" s="9" t="s">
        <v>13</v>
      </c>
      <c r="I29" s="9" t="s">
        <v>22</v>
      </c>
    </row>
    <row r="30">
      <c r="A30" s="32" t="s">
        <v>41</v>
      </c>
      <c r="B30" s="30">
        <f t="shared" si="6"/>
        <v>0</v>
      </c>
      <c r="C30" s="31">
        <f t="shared" si="7"/>
        <v>0</v>
      </c>
      <c r="D30" s="9" t="b">
        <f t="shared" si="8"/>
        <v>0</v>
      </c>
      <c r="E30" s="33"/>
      <c r="F30" s="33"/>
      <c r="G30" s="34"/>
      <c r="H30" s="9" t="s">
        <v>13</v>
      </c>
      <c r="I30" s="9" t="s">
        <v>31</v>
      </c>
    </row>
    <row r="31" ht="21.0" customHeight="1">
      <c r="A31" s="2"/>
      <c r="B31" s="7"/>
      <c r="C31" s="7"/>
      <c r="E31" s="15"/>
      <c r="F31" s="15"/>
      <c r="G31" s="11"/>
      <c r="H31" s="16"/>
      <c r="I31" s="38"/>
    </row>
    <row r="32" ht="14.25" customHeight="1">
      <c r="A32" s="2" t="s">
        <v>27</v>
      </c>
      <c r="B32" s="7">
        <f t="shared" ref="B32:C32" si="11">SUM(B21:B30)</f>
        <v>5600</v>
      </c>
      <c r="C32" s="7">
        <f t="shared" si="11"/>
        <v>2800</v>
      </c>
      <c r="E32" s="15"/>
      <c r="F32" s="15">
        <f>SUM(F21:F30)</f>
        <v>5307.25</v>
      </c>
      <c r="G32" s="11"/>
      <c r="H32" s="16"/>
      <c r="I32" s="38"/>
    </row>
    <row r="33" ht="14.25" customHeight="1">
      <c r="A33" s="39"/>
      <c r="B33" s="40"/>
      <c r="C33" s="40"/>
      <c r="E33" s="41"/>
      <c r="F33" s="41"/>
      <c r="G33" s="35"/>
      <c r="I33" s="42"/>
    </row>
    <row r="34">
      <c r="A34" s="1" t="s">
        <v>42</v>
      </c>
      <c r="C34" s="43"/>
      <c r="E34" s="44"/>
      <c r="F34" s="44"/>
      <c r="G34" s="45"/>
      <c r="I34" s="29"/>
    </row>
    <row r="35">
      <c r="A35" s="3" t="s">
        <v>3</v>
      </c>
      <c r="B35" s="4" t="s">
        <v>4</v>
      </c>
      <c r="C35" s="4" t="s">
        <v>5</v>
      </c>
      <c r="D35" s="4" t="s">
        <v>6</v>
      </c>
      <c r="E35" s="4"/>
      <c r="F35" s="4"/>
      <c r="G35" s="28"/>
      <c r="H35" s="5" t="s">
        <v>10</v>
      </c>
      <c r="I35" s="5" t="s">
        <v>29</v>
      </c>
    </row>
    <row r="36">
      <c r="A36" s="9" t="s">
        <v>43</v>
      </c>
      <c r="B36" s="10">
        <f t="shared" ref="B36:B38" si="12">CEILING(F36,100)</f>
        <v>1400</v>
      </c>
      <c r="C36" s="31">
        <f t="shared" ref="C36:C38" si="13">CEILING(B36/2, 10)</f>
        <v>700</v>
      </c>
      <c r="D36" s="9" t="b">
        <f t="shared" ref="D36:D38" si="14">IF(E36&gt;0, true)</f>
        <v>0</v>
      </c>
      <c r="E36" s="10"/>
      <c r="F36" s="10">
        <v>1399.0</v>
      </c>
      <c r="G36" s="11"/>
      <c r="H36" s="9" t="s">
        <v>44</v>
      </c>
      <c r="I36" s="9" t="s">
        <v>45</v>
      </c>
    </row>
    <row r="37">
      <c r="A37" s="9" t="s">
        <v>46</v>
      </c>
      <c r="B37" s="10">
        <f t="shared" si="12"/>
        <v>500</v>
      </c>
      <c r="C37" s="31">
        <f t="shared" si="13"/>
        <v>250</v>
      </c>
      <c r="D37" s="9" t="b">
        <f t="shared" si="14"/>
        <v>0</v>
      </c>
      <c r="E37" s="10"/>
      <c r="F37" s="10">
        <v>500.0</v>
      </c>
      <c r="G37" s="11"/>
      <c r="H37" s="9" t="s">
        <v>33</v>
      </c>
      <c r="I37" s="9" t="s">
        <v>31</v>
      </c>
    </row>
    <row r="38">
      <c r="A38" s="9" t="s">
        <v>47</v>
      </c>
      <c r="B38" s="10">
        <f t="shared" si="12"/>
        <v>500</v>
      </c>
      <c r="C38" s="31">
        <f t="shared" si="13"/>
        <v>250</v>
      </c>
      <c r="D38" s="9" t="b">
        <f t="shared" si="14"/>
        <v>0</v>
      </c>
      <c r="E38" s="10"/>
      <c r="F38" s="10">
        <v>439.0</v>
      </c>
      <c r="G38" s="11"/>
      <c r="H38" s="9" t="s">
        <v>33</v>
      </c>
      <c r="I38" s="9" t="s">
        <v>31</v>
      </c>
    </row>
    <row r="39">
      <c r="A39" s="46"/>
      <c r="B39" s="46"/>
      <c r="C39" s="46"/>
      <c r="D39" s="46"/>
      <c r="E39" s="46"/>
      <c r="F39" s="46"/>
      <c r="G39" s="17"/>
      <c r="H39" s="46"/>
      <c r="I39" s="46"/>
    </row>
    <row r="40">
      <c r="A40" s="9" t="s">
        <v>27</v>
      </c>
      <c r="B40" s="47">
        <f t="shared" ref="B40:C40" si="15">SUM(B36:B39)</f>
        <v>2400</v>
      </c>
      <c r="C40" s="47">
        <f t="shared" si="15"/>
        <v>1200</v>
      </c>
      <c r="D40" s="46"/>
      <c r="E40" s="46"/>
      <c r="F40" s="47">
        <f>SUM(F36:F39)</f>
        <v>2338</v>
      </c>
      <c r="G40" s="17"/>
      <c r="H40" s="46"/>
      <c r="I40" s="46"/>
    </row>
    <row r="41">
      <c r="E41" s="48"/>
      <c r="F41" s="48"/>
      <c r="G41" s="17"/>
    </row>
    <row r="42">
      <c r="A42" s="1" t="s">
        <v>48</v>
      </c>
      <c r="C42" s="49"/>
      <c r="E42" s="44"/>
      <c r="F42" s="44"/>
      <c r="G42" s="45"/>
      <c r="I42" s="50"/>
    </row>
    <row r="43">
      <c r="A43" s="3" t="s">
        <v>3</v>
      </c>
      <c r="B43" s="4" t="s">
        <v>4</v>
      </c>
      <c r="C43" s="4" t="s">
        <v>5</v>
      </c>
      <c r="D43" s="4" t="s">
        <v>6</v>
      </c>
      <c r="E43" s="4"/>
      <c r="F43" s="4"/>
      <c r="G43" s="28"/>
      <c r="H43" s="5" t="s">
        <v>10</v>
      </c>
      <c r="I43" s="5" t="s">
        <v>29</v>
      </c>
    </row>
    <row r="44">
      <c r="A44" s="9" t="s">
        <v>49</v>
      </c>
      <c r="B44" s="10">
        <f t="shared" ref="B44:B46" si="16">CEILING(F44,100)</f>
        <v>500</v>
      </c>
      <c r="C44" s="31">
        <f t="shared" ref="C44:C46" si="17">CEILING(B44/2, 10)</f>
        <v>250</v>
      </c>
      <c r="D44" s="9" t="b">
        <f t="shared" ref="D44:D46" si="18">IF(E44&gt;0, true)</f>
        <v>0</v>
      </c>
      <c r="E44" s="10"/>
      <c r="F44" s="10">
        <v>450.0</v>
      </c>
      <c r="G44" s="11"/>
      <c r="H44" s="9" t="s">
        <v>18</v>
      </c>
      <c r="I44" s="9" t="s">
        <v>50</v>
      </c>
      <c r="M44" s="51"/>
    </row>
    <row r="45">
      <c r="A45" s="9" t="s">
        <v>51</v>
      </c>
      <c r="B45" s="10">
        <f t="shared" si="16"/>
        <v>500</v>
      </c>
      <c r="C45" s="31">
        <f t="shared" si="17"/>
        <v>250</v>
      </c>
      <c r="D45" s="9" t="b">
        <f t="shared" si="18"/>
        <v>0</v>
      </c>
      <c r="E45" s="10"/>
      <c r="F45" s="10">
        <v>450.0</v>
      </c>
      <c r="G45" s="11"/>
      <c r="H45" s="9" t="s">
        <v>18</v>
      </c>
      <c r="I45" s="9" t="s">
        <v>52</v>
      </c>
      <c r="K45" s="8"/>
      <c r="L45" s="8"/>
      <c r="M45" s="8"/>
    </row>
    <row r="46">
      <c r="A46" s="9" t="s">
        <v>53</v>
      </c>
      <c r="B46" s="10">
        <f t="shared" si="16"/>
        <v>1100</v>
      </c>
      <c r="C46" s="31">
        <f t="shared" si="17"/>
        <v>550</v>
      </c>
      <c r="D46" s="9" t="b">
        <f t="shared" si="18"/>
        <v>0</v>
      </c>
      <c r="E46" s="10"/>
      <c r="F46" s="10">
        <v>1100.0</v>
      </c>
      <c r="G46" s="11"/>
      <c r="H46" s="9" t="s">
        <v>22</v>
      </c>
      <c r="I46" s="9" t="s">
        <v>22</v>
      </c>
      <c r="L46" s="8"/>
      <c r="M46" s="8"/>
    </row>
    <row r="47">
      <c r="A47" s="9"/>
      <c r="B47" s="46"/>
      <c r="C47" s="46"/>
      <c r="D47" s="46"/>
      <c r="E47" s="46"/>
      <c r="F47" s="46"/>
      <c r="G47" s="17"/>
      <c r="H47" s="46"/>
      <c r="I47" s="46"/>
      <c r="L47" s="8"/>
      <c r="M47" s="8"/>
    </row>
    <row r="48">
      <c r="A48" s="9" t="s">
        <v>27</v>
      </c>
      <c r="B48" s="47">
        <f t="shared" ref="B48:C48" si="19">SUM(B44:B46)</f>
        <v>2100</v>
      </c>
      <c r="C48" s="47">
        <f t="shared" si="19"/>
        <v>1050</v>
      </c>
      <c r="D48" s="46"/>
      <c r="E48" s="46"/>
      <c r="F48" s="47">
        <f>SUM(F44:F46)</f>
        <v>2000</v>
      </c>
      <c r="G48" s="17"/>
      <c r="H48" s="46"/>
      <c r="I48" s="46"/>
      <c r="L48" s="8"/>
      <c r="M48" s="8"/>
    </row>
    <row r="49">
      <c r="A49" s="2"/>
      <c r="E49" s="48"/>
      <c r="F49" s="48"/>
      <c r="G49" s="17"/>
      <c r="L49" s="8"/>
      <c r="M49" s="8"/>
    </row>
    <row r="50">
      <c r="A50" s="1" t="s">
        <v>54</v>
      </c>
      <c r="E50" s="44"/>
      <c r="F50" s="44"/>
      <c r="G50" s="45"/>
      <c r="L50" s="8"/>
      <c r="M50" s="8"/>
    </row>
    <row r="51">
      <c r="A51" s="3" t="s">
        <v>3</v>
      </c>
      <c r="B51" s="4" t="s">
        <v>4</v>
      </c>
      <c r="C51" s="4" t="s">
        <v>5</v>
      </c>
      <c r="D51" s="4" t="s">
        <v>6</v>
      </c>
      <c r="E51" s="4"/>
      <c r="F51" s="4"/>
      <c r="G51" s="28"/>
      <c r="H51" s="5" t="s">
        <v>10</v>
      </c>
      <c r="I51" s="5" t="s">
        <v>29</v>
      </c>
      <c r="L51" s="8"/>
      <c r="M51" s="8"/>
    </row>
    <row r="52">
      <c r="A52" s="9" t="s">
        <v>55</v>
      </c>
      <c r="B52" s="10">
        <f t="shared" ref="B52:B58" si="20">CEILING(F52,100)</f>
        <v>11000</v>
      </c>
      <c r="C52" s="31">
        <f t="shared" ref="C52:C58" si="21">CEILING(B52/2, 10)</f>
        <v>5500</v>
      </c>
      <c r="D52" s="9" t="b">
        <f t="shared" ref="D52:D58" si="22">IF(E52&gt;0, true)</f>
        <v>0</v>
      </c>
      <c r="E52" s="10"/>
      <c r="F52" s="10">
        <v>11000.0</v>
      </c>
      <c r="G52" s="11"/>
      <c r="H52" s="9" t="s">
        <v>18</v>
      </c>
      <c r="I52" s="9" t="s">
        <v>56</v>
      </c>
      <c r="K52" s="52"/>
      <c r="L52" s="8"/>
      <c r="M52" s="8"/>
    </row>
    <row r="53">
      <c r="A53" s="9" t="s">
        <v>57</v>
      </c>
      <c r="B53" s="10">
        <f t="shared" si="20"/>
        <v>3700</v>
      </c>
      <c r="C53" s="31">
        <f t="shared" si="21"/>
        <v>1850</v>
      </c>
      <c r="D53" s="9" t="b">
        <f t="shared" si="22"/>
        <v>0</v>
      </c>
      <c r="E53" s="10"/>
      <c r="F53" s="10">
        <v>3700.0</v>
      </c>
      <c r="G53" s="11"/>
      <c r="H53" s="9" t="s">
        <v>33</v>
      </c>
      <c r="I53" s="9" t="s">
        <v>56</v>
      </c>
    </row>
    <row r="54">
      <c r="A54" s="9" t="s">
        <v>58</v>
      </c>
      <c r="B54" s="10">
        <f t="shared" si="20"/>
        <v>800</v>
      </c>
      <c r="C54" s="31">
        <f t="shared" si="21"/>
        <v>400</v>
      </c>
      <c r="D54" s="9" t="b">
        <f t="shared" si="22"/>
        <v>1</v>
      </c>
      <c r="E54" s="10">
        <v>9500.0</v>
      </c>
      <c r="F54" s="10">
        <f t="shared" ref="F54:F55" si="23">E54/12</f>
        <v>791.6666667</v>
      </c>
      <c r="G54" s="11"/>
      <c r="H54" s="9" t="s">
        <v>33</v>
      </c>
      <c r="I54" s="9" t="s">
        <v>56</v>
      </c>
      <c r="L54" s="8"/>
      <c r="M54" s="8"/>
      <c r="X54" s="23" t="str">
        <f>#REF!+#REF!+Deuda!E5+#REF!+#REF!+#REF!</f>
        <v>#REF!</v>
      </c>
    </row>
    <row r="55">
      <c r="A55" s="9" t="s">
        <v>59</v>
      </c>
      <c r="B55" s="10">
        <f t="shared" si="20"/>
        <v>800</v>
      </c>
      <c r="C55" s="31">
        <f t="shared" si="21"/>
        <v>400</v>
      </c>
      <c r="D55" s="9" t="b">
        <f t="shared" si="22"/>
        <v>1</v>
      </c>
      <c r="E55" s="10">
        <v>9500.0</v>
      </c>
      <c r="F55" s="10">
        <f t="shared" si="23"/>
        <v>791.6666667</v>
      </c>
      <c r="G55" s="11"/>
      <c r="H55" s="9" t="s">
        <v>33</v>
      </c>
      <c r="I55" s="9" t="s">
        <v>56</v>
      </c>
    </row>
    <row r="56">
      <c r="A56" s="9" t="s">
        <v>60</v>
      </c>
      <c r="B56" s="10">
        <f t="shared" si="20"/>
        <v>600</v>
      </c>
      <c r="C56" s="31">
        <f t="shared" si="21"/>
        <v>300</v>
      </c>
      <c r="D56" s="9" t="b">
        <f t="shared" si="22"/>
        <v>0</v>
      </c>
      <c r="E56" s="10"/>
      <c r="F56" s="10">
        <v>600.0</v>
      </c>
      <c r="G56" s="11"/>
      <c r="H56" s="9" t="s">
        <v>33</v>
      </c>
      <c r="I56" s="9" t="s">
        <v>56</v>
      </c>
    </row>
    <row r="57">
      <c r="A57" s="9" t="s">
        <v>62</v>
      </c>
      <c r="B57" s="10">
        <f t="shared" si="20"/>
        <v>400</v>
      </c>
      <c r="C57" s="31">
        <f t="shared" si="21"/>
        <v>200</v>
      </c>
      <c r="D57" s="9" t="b">
        <f t="shared" si="22"/>
        <v>1</v>
      </c>
      <c r="E57" s="10">
        <v>4000.0</v>
      </c>
      <c r="F57" s="10">
        <f t="shared" ref="F57:F58" si="24">E57/12</f>
        <v>333.3333333</v>
      </c>
      <c r="G57" s="11"/>
      <c r="H57" s="9" t="s">
        <v>33</v>
      </c>
      <c r="I57" s="9" t="s">
        <v>56</v>
      </c>
    </row>
    <row r="58">
      <c r="A58" s="9" t="s">
        <v>63</v>
      </c>
      <c r="B58" s="10">
        <f t="shared" si="20"/>
        <v>200</v>
      </c>
      <c r="C58" s="31">
        <f t="shared" si="21"/>
        <v>100</v>
      </c>
      <c r="D58" s="9" t="b">
        <f t="shared" si="22"/>
        <v>1</v>
      </c>
      <c r="E58" s="10">
        <v>1500.0</v>
      </c>
      <c r="F58" s="10">
        <f t="shared" si="24"/>
        <v>125</v>
      </c>
      <c r="G58" s="11"/>
      <c r="H58" s="9" t="s">
        <v>33</v>
      </c>
      <c r="I58" s="9" t="s">
        <v>56</v>
      </c>
    </row>
    <row r="59">
      <c r="A59" s="46"/>
      <c r="B59" s="46"/>
      <c r="C59" s="46"/>
      <c r="D59" s="46"/>
      <c r="E59" s="46"/>
      <c r="F59" s="46"/>
      <c r="G59" s="17"/>
      <c r="H59" s="46"/>
      <c r="I59" s="46"/>
    </row>
    <row r="60">
      <c r="A60" s="9" t="s">
        <v>27</v>
      </c>
      <c r="B60" s="47">
        <f t="shared" ref="B60:C60" si="25">SUM(B52:B59)</f>
        <v>17500</v>
      </c>
      <c r="C60" s="47">
        <f t="shared" si="25"/>
        <v>8750</v>
      </c>
      <c r="D60" s="46"/>
      <c r="E60" s="46"/>
      <c r="F60" s="47">
        <f>SUM(F52:F58)</f>
        <v>17341.66667</v>
      </c>
      <c r="G60" s="17"/>
      <c r="H60" s="46"/>
      <c r="I60" s="46"/>
    </row>
    <row r="61">
      <c r="E61" s="48"/>
      <c r="F61" s="48"/>
      <c r="G61" s="17"/>
    </row>
    <row r="62">
      <c r="A62" s="1" t="s">
        <v>64</v>
      </c>
      <c r="E62" s="44"/>
      <c r="F62" s="44"/>
      <c r="G62" s="45"/>
    </row>
    <row r="63">
      <c r="A63" s="3" t="s">
        <v>3</v>
      </c>
      <c r="B63" s="4" t="s">
        <v>4</v>
      </c>
      <c r="C63" s="4" t="s">
        <v>5</v>
      </c>
      <c r="D63" s="4" t="s">
        <v>6</v>
      </c>
      <c r="E63" s="4"/>
      <c r="F63" s="4"/>
      <c r="G63" s="28"/>
      <c r="H63" s="5" t="s">
        <v>10</v>
      </c>
      <c r="I63" s="5" t="s">
        <v>29</v>
      </c>
    </row>
    <row r="64">
      <c r="A64" s="9" t="s">
        <v>65</v>
      </c>
      <c r="B64" s="10">
        <f t="shared" ref="B64:B75" si="26">CEILING(F64,100)</f>
        <v>37500</v>
      </c>
      <c r="C64" s="31">
        <f t="shared" ref="C64:C75" si="27">CEILING(B64/2, 10)</f>
        <v>18750</v>
      </c>
      <c r="D64" s="9" t="b">
        <f t="shared" ref="D64:D75" si="28">IF(E64&gt;0, true)</f>
        <v>0</v>
      </c>
      <c r="E64" s="10"/>
      <c r="F64" s="10">
        <v>37500.0</v>
      </c>
      <c r="G64" s="11"/>
      <c r="H64" s="9" t="s">
        <v>18</v>
      </c>
      <c r="I64" s="9" t="s">
        <v>66</v>
      </c>
    </row>
    <row r="65">
      <c r="A65" s="9" t="s">
        <v>67</v>
      </c>
      <c r="B65" s="10">
        <f t="shared" si="26"/>
        <v>20000</v>
      </c>
      <c r="C65" s="31">
        <f t="shared" si="27"/>
        <v>10000</v>
      </c>
      <c r="D65" s="9" t="b">
        <f t="shared" si="28"/>
        <v>0</v>
      </c>
      <c r="E65" s="10"/>
      <c r="F65" s="10">
        <v>20000.0</v>
      </c>
      <c r="G65" s="11"/>
      <c r="H65" s="9" t="s">
        <v>44</v>
      </c>
      <c r="I65" s="9" t="s">
        <v>45</v>
      </c>
    </row>
    <row r="66">
      <c r="A66" s="9" t="s">
        <v>68</v>
      </c>
      <c r="B66" s="10">
        <f t="shared" si="26"/>
        <v>3500</v>
      </c>
      <c r="C66" s="31">
        <f t="shared" si="27"/>
        <v>1750</v>
      </c>
      <c r="D66" s="9" t="b">
        <f t="shared" si="28"/>
        <v>0</v>
      </c>
      <c r="E66" s="47"/>
      <c r="F66" s="47">
        <f>430*8</f>
        <v>3440</v>
      </c>
      <c r="G66" s="11" t="s">
        <v>655</v>
      </c>
      <c r="H66" s="9" t="s">
        <v>18</v>
      </c>
      <c r="I66" s="9" t="s">
        <v>18</v>
      </c>
    </row>
    <row r="67">
      <c r="A67" s="9" t="s">
        <v>70</v>
      </c>
      <c r="B67" s="10">
        <f t="shared" si="26"/>
        <v>2000</v>
      </c>
      <c r="C67" s="31">
        <f t="shared" si="27"/>
        <v>1000</v>
      </c>
      <c r="D67" s="9" t="b">
        <f t="shared" si="28"/>
        <v>0</v>
      </c>
      <c r="E67" s="47"/>
      <c r="F67" s="47">
        <f>500*4</f>
        <v>2000</v>
      </c>
      <c r="G67" s="11" t="s">
        <v>71</v>
      </c>
      <c r="H67" s="9" t="s">
        <v>18</v>
      </c>
      <c r="I67" s="9" t="s">
        <v>18</v>
      </c>
    </row>
    <row r="68">
      <c r="A68" s="9" t="s">
        <v>73</v>
      </c>
      <c r="B68" s="10">
        <f t="shared" si="26"/>
        <v>800</v>
      </c>
      <c r="C68" s="31">
        <f t="shared" si="27"/>
        <v>400</v>
      </c>
      <c r="D68" s="9" t="b">
        <f t="shared" si="28"/>
        <v>0</v>
      </c>
      <c r="E68" s="10"/>
      <c r="F68" s="10">
        <f>1500/2</f>
        <v>750</v>
      </c>
      <c r="G68" s="11" t="s">
        <v>656</v>
      </c>
      <c r="H68" s="9" t="s">
        <v>44</v>
      </c>
      <c r="I68" s="9" t="s">
        <v>45</v>
      </c>
    </row>
    <row r="69">
      <c r="A69" s="9" t="s">
        <v>75</v>
      </c>
      <c r="B69" s="10">
        <f t="shared" si="26"/>
        <v>700</v>
      </c>
      <c r="C69" s="31">
        <f t="shared" si="27"/>
        <v>350</v>
      </c>
      <c r="D69" s="9" t="b">
        <f t="shared" si="28"/>
        <v>0</v>
      </c>
      <c r="E69" s="10"/>
      <c r="F69" s="10">
        <f>1250/2</f>
        <v>625</v>
      </c>
      <c r="G69" s="11" t="s">
        <v>657</v>
      </c>
      <c r="H69" s="9" t="s">
        <v>44</v>
      </c>
      <c r="I69" s="9" t="s">
        <v>45</v>
      </c>
    </row>
    <row r="70">
      <c r="A70" s="9" t="s">
        <v>77</v>
      </c>
      <c r="B70" s="10">
        <f t="shared" si="26"/>
        <v>300</v>
      </c>
      <c r="C70" s="31">
        <f t="shared" si="27"/>
        <v>150</v>
      </c>
      <c r="D70" s="9" t="b">
        <f t="shared" si="28"/>
        <v>0</v>
      </c>
      <c r="E70" s="10"/>
      <c r="F70" s="10">
        <f>(450+120)/2</f>
        <v>285</v>
      </c>
      <c r="G70" s="11" t="s">
        <v>78</v>
      </c>
      <c r="H70" s="9" t="s">
        <v>44</v>
      </c>
      <c r="I70" s="9" t="s">
        <v>45</v>
      </c>
    </row>
    <row r="71">
      <c r="A71" s="9" t="s">
        <v>79</v>
      </c>
      <c r="B71" s="10">
        <f t="shared" si="26"/>
        <v>300</v>
      </c>
      <c r="C71" s="31">
        <f t="shared" si="27"/>
        <v>150</v>
      </c>
      <c r="D71" s="9" t="b">
        <f t="shared" si="28"/>
        <v>0</v>
      </c>
      <c r="E71" s="47"/>
      <c r="F71" s="47">
        <f>70*4</f>
        <v>280</v>
      </c>
      <c r="G71" s="53"/>
      <c r="H71" s="9" t="s">
        <v>18</v>
      </c>
      <c r="I71" s="9" t="s">
        <v>18</v>
      </c>
    </row>
    <row r="72">
      <c r="A72" s="9" t="s">
        <v>72</v>
      </c>
      <c r="B72" s="10">
        <f t="shared" si="26"/>
        <v>1800</v>
      </c>
      <c r="C72" s="31">
        <f t="shared" si="27"/>
        <v>900</v>
      </c>
      <c r="D72" s="9" t="b">
        <f t="shared" si="28"/>
        <v>0</v>
      </c>
      <c r="E72" s="10"/>
      <c r="F72" s="10">
        <v>1800.0</v>
      </c>
      <c r="G72" s="11"/>
      <c r="H72" s="9" t="s">
        <v>18</v>
      </c>
      <c r="I72" s="9" t="s">
        <v>66</v>
      </c>
    </row>
    <row r="73">
      <c r="A73" s="9" t="s">
        <v>80</v>
      </c>
      <c r="B73" s="10">
        <f t="shared" si="26"/>
        <v>200</v>
      </c>
      <c r="C73" s="31">
        <f t="shared" si="27"/>
        <v>100</v>
      </c>
      <c r="D73" s="9" t="b">
        <f t="shared" si="28"/>
        <v>1</v>
      </c>
      <c r="E73" s="10">
        <v>1500.0</v>
      </c>
      <c r="F73" s="10">
        <f>E73/12</f>
        <v>125</v>
      </c>
      <c r="G73" s="11"/>
      <c r="H73" s="9" t="s">
        <v>44</v>
      </c>
      <c r="I73" s="9" t="s">
        <v>22</v>
      </c>
    </row>
    <row r="74">
      <c r="A74" s="9" t="s">
        <v>82</v>
      </c>
      <c r="B74" s="10">
        <f t="shared" si="26"/>
        <v>0</v>
      </c>
      <c r="C74" s="31">
        <f t="shared" si="27"/>
        <v>0</v>
      </c>
      <c r="D74" s="9" t="b">
        <f t="shared" si="28"/>
        <v>0</v>
      </c>
      <c r="E74" s="10"/>
      <c r="F74" s="10">
        <v>0.0</v>
      </c>
      <c r="G74" s="11"/>
      <c r="H74" s="9" t="s">
        <v>18</v>
      </c>
      <c r="I74" s="9" t="s">
        <v>18</v>
      </c>
    </row>
    <row r="75">
      <c r="A75" s="9" t="s">
        <v>81</v>
      </c>
      <c r="B75" s="10">
        <f t="shared" si="26"/>
        <v>200</v>
      </c>
      <c r="C75" s="31">
        <f t="shared" si="27"/>
        <v>100</v>
      </c>
      <c r="D75" s="9" t="b">
        <f t="shared" si="28"/>
        <v>0</v>
      </c>
      <c r="E75" s="10"/>
      <c r="F75" s="10">
        <v>110.0</v>
      </c>
      <c r="G75" s="11"/>
      <c r="H75" s="9" t="s">
        <v>18</v>
      </c>
      <c r="I75" s="9" t="s">
        <v>18</v>
      </c>
    </row>
    <row r="76">
      <c r="A76" s="46"/>
      <c r="B76" s="46"/>
      <c r="C76" s="46"/>
      <c r="D76" s="46"/>
      <c r="E76" s="46"/>
      <c r="F76" s="46"/>
      <c r="G76" s="17"/>
      <c r="H76" s="46"/>
      <c r="I76" s="46"/>
    </row>
    <row r="77">
      <c r="A77" s="9" t="s">
        <v>27</v>
      </c>
      <c r="B77" s="47">
        <f t="shared" ref="B77:C77" si="29">SUM(B64:B76)</f>
        <v>67300</v>
      </c>
      <c r="C77" s="47">
        <f t="shared" si="29"/>
        <v>33650</v>
      </c>
      <c r="D77" s="46"/>
      <c r="E77" s="46"/>
      <c r="F77" s="47">
        <f>SUM(F64:F76)</f>
        <v>66915</v>
      </c>
      <c r="G77" s="17"/>
      <c r="H77" s="46"/>
      <c r="I77" s="46"/>
    </row>
    <row r="78">
      <c r="E78" s="48"/>
      <c r="F78" s="48"/>
      <c r="G78" s="17"/>
    </row>
    <row r="79">
      <c r="A79" s="1" t="s">
        <v>83</v>
      </c>
      <c r="E79" s="44"/>
      <c r="F79" s="44"/>
      <c r="G79" s="45"/>
    </row>
    <row r="80">
      <c r="A80" s="3" t="s">
        <v>3</v>
      </c>
      <c r="B80" s="4" t="s">
        <v>4</v>
      </c>
      <c r="C80" s="4" t="s">
        <v>5</v>
      </c>
      <c r="D80" s="4" t="s">
        <v>6</v>
      </c>
      <c r="E80" s="4"/>
      <c r="F80" s="4"/>
      <c r="G80" s="28"/>
      <c r="H80" s="5" t="s">
        <v>10</v>
      </c>
      <c r="I80" s="5" t="s">
        <v>29</v>
      </c>
    </row>
    <row r="81">
      <c r="A81" s="54" t="s">
        <v>86</v>
      </c>
      <c r="B81" s="55">
        <f t="shared" ref="B81:B83" si="30">CEILING(F81,100)</f>
        <v>2500</v>
      </c>
      <c r="C81" s="56">
        <f t="shared" ref="C81:C83" si="31">CEILING(B81/2, 10)</f>
        <v>1250</v>
      </c>
      <c r="D81" s="54" t="b">
        <v>0</v>
      </c>
      <c r="E81" s="55"/>
      <c r="F81" s="55">
        <v>2500.0</v>
      </c>
      <c r="G81" s="11"/>
      <c r="H81" s="54" t="s">
        <v>87</v>
      </c>
      <c r="I81" s="54" t="s">
        <v>87</v>
      </c>
    </row>
    <row r="82">
      <c r="A82" s="54" t="s">
        <v>84</v>
      </c>
      <c r="B82" s="55">
        <f t="shared" si="30"/>
        <v>4000</v>
      </c>
      <c r="C82" s="56">
        <f t="shared" si="31"/>
        <v>2000</v>
      </c>
      <c r="D82" s="54" t="b">
        <v>0</v>
      </c>
      <c r="E82" s="55"/>
      <c r="F82" s="55">
        <v>4000.0</v>
      </c>
      <c r="G82" s="11"/>
      <c r="H82" s="54" t="s">
        <v>33</v>
      </c>
      <c r="I82" s="54" t="s">
        <v>31</v>
      </c>
    </row>
    <row r="83">
      <c r="A83" s="54" t="s">
        <v>85</v>
      </c>
      <c r="B83" s="55">
        <f t="shared" si="30"/>
        <v>4000</v>
      </c>
      <c r="C83" s="56">
        <f t="shared" si="31"/>
        <v>2000</v>
      </c>
      <c r="D83" s="54" t="b">
        <v>0</v>
      </c>
      <c r="E83" s="55"/>
      <c r="F83" s="55">
        <v>4000.0</v>
      </c>
      <c r="G83" s="11"/>
      <c r="H83" s="54" t="s">
        <v>18</v>
      </c>
      <c r="I83" s="54" t="s">
        <v>18</v>
      </c>
    </row>
    <row r="84">
      <c r="A84" s="57"/>
      <c r="B84" s="57"/>
      <c r="C84" s="57"/>
      <c r="D84" s="57"/>
      <c r="E84" s="57"/>
      <c r="F84" s="57"/>
      <c r="G84" s="17"/>
      <c r="H84" s="57"/>
      <c r="I84" s="57"/>
    </row>
    <row r="85">
      <c r="A85" s="54" t="s">
        <v>27</v>
      </c>
      <c r="B85" s="58">
        <f t="shared" ref="B85:C85" si="32">SUM(B81:B84)</f>
        <v>10500</v>
      </c>
      <c r="C85" s="58">
        <f t="shared" si="32"/>
        <v>5250</v>
      </c>
      <c r="D85" s="57"/>
      <c r="E85" s="57"/>
      <c r="F85" s="58">
        <f>SUM(F81:F84)</f>
        <v>10500</v>
      </c>
      <c r="G85" s="17"/>
      <c r="H85" s="57"/>
      <c r="I85" s="57"/>
    </row>
    <row r="86">
      <c r="G86" s="17"/>
    </row>
    <row r="87">
      <c r="G87" s="17"/>
    </row>
    <row r="88">
      <c r="G88" s="17"/>
    </row>
    <row r="89">
      <c r="G89" s="17"/>
    </row>
    <row r="90">
      <c r="G90" s="17"/>
    </row>
    <row r="91">
      <c r="G91" s="17"/>
    </row>
    <row r="92">
      <c r="G92" s="17"/>
    </row>
    <row r="93">
      <c r="G93" s="17"/>
    </row>
    <row r="94">
      <c r="G94" s="17"/>
    </row>
    <row r="95">
      <c r="G95" s="17"/>
    </row>
    <row r="96">
      <c r="G96" s="17"/>
    </row>
    <row r="97">
      <c r="G97" s="17"/>
    </row>
    <row r="98">
      <c r="G98" s="17"/>
    </row>
    <row r="99">
      <c r="G99" s="17"/>
    </row>
    <row r="100">
      <c r="G100" s="17"/>
    </row>
    <row r="101">
      <c r="G101" s="17"/>
    </row>
    <row r="102">
      <c r="G102" s="17"/>
    </row>
    <row r="103">
      <c r="G103" s="17"/>
    </row>
    <row r="104">
      <c r="G104" s="17"/>
    </row>
    <row r="105">
      <c r="G105" s="17"/>
    </row>
    <row r="106">
      <c r="G106" s="17"/>
    </row>
    <row r="107">
      <c r="G107" s="17"/>
    </row>
    <row r="108">
      <c r="G108" s="17"/>
    </row>
    <row r="109">
      <c r="G109" s="17"/>
    </row>
    <row r="110">
      <c r="G110" s="17"/>
    </row>
    <row r="111">
      <c r="G111" s="17"/>
    </row>
    <row r="112">
      <c r="G112" s="17"/>
    </row>
    <row r="113">
      <c r="G113" s="17"/>
    </row>
    <row r="114">
      <c r="G114" s="17"/>
    </row>
    <row r="115">
      <c r="G115" s="17"/>
    </row>
    <row r="116">
      <c r="G116" s="17"/>
    </row>
    <row r="117">
      <c r="G117" s="17"/>
    </row>
    <row r="118">
      <c r="G118" s="17"/>
    </row>
    <row r="119">
      <c r="G119" s="17"/>
    </row>
    <row r="120">
      <c r="G120" s="17"/>
    </row>
    <row r="121">
      <c r="G121" s="17"/>
    </row>
    <row r="122">
      <c r="G122" s="17"/>
    </row>
    <row r="123">
      <c r="G123" s="17"/>
    </row>
    <row r="124">
      <c r="G124" s="17"/>
    </row>
    <row r="125">
      <c r="G125" s="17"/>
    </row>
    <row r="126">
      <c r="G126" s="17"/>
    </row>
    <row r="127">
      <c r="G127" s="17"/>
    </row>
    <row r="128">
      <c r="G128" s="17"/>
    </row>
    <row r="129">
      <c r="G129" s="17"/>
    </row>
    <row r="130">
      <c r="G130" s="17"/>
    </row>
    <row r="131">
      <c r="G131" s="17"/>
    </row>
    <row r="132">
      <c r="G132" s="17"/>
    </row>
    <row r="133">
      <c r="G133" s="17"/>
    </row>
    <row r="134">
      <c r="G134" s="17"/>
    </row>
    <row r="135">
      <c r="G135" s="17"/>
    </row>
    <row r="136">
      <c r="G136" s="17"/>
    </row>
    <row r="137">
      <c r="G137" s="17"/>
    </row>
    <row r="138">
      <c r="G138" s="17"/>
    </row>
    <row r="139">
      <c r="G139" s="17"/>
    </row>
    <row r="140">
      <c r="G140" s="17"/>
    </row>
    <row r="141">
      <c r="G141" s="17"/>
    </row>
    <row r="142">
      <c r="G142" s="17"/>
    </row>
    <row r="143">
      <c r="G143" s="17"/>
    </row>
    <row r="144">
      <c r="G144" s="17"/>
    </row>
    <row r="145">
      <c r="G145" s="17"/>
    </row>
    <row r="146">
      <c r="G146" s="17"/>
    </row>
    <row r="147">
      <c r="G147" s="17"/>
    </row>
    <row r="148">
      <c r="G148" s="17"/>
    </row>
    <row r="149">
      <c r="G149" s="17"/>
    </row>
    <row r="150">
      <c r="G150" s="17"/>
    </row>
    <row r="151">
      <c r="G151" s="17"/>
    </row>
    <row r="152">
      <c r="G152" s="17"/>
    </row>
    <row r="153">
      <c r="G153" s="17"/>
    </row>
    <row r="154">
      <c r="G154" s="17"/>
    </row>
    <row r="155">
      <c r="G155" s="17"/>
    </row>
    <row r="156">
      <c r="G156" s="17"/>
    </row>
    <row r="157">
      <c r="G157" s="17"/>
    </row>
    <row r="158">
      <c r="G158" s="17"/>
    </row>
    <row r="159">
      <c r="G159" s="17"/>
    </row>
    <row r="160">
      <c r="G160" s="17"/>
    </row>
    <row r="161">
      <c r="G161" s="17"/>
    </row>
    <row r="162">
      <c r="G162" s="17"/>
    </row>
    <row r="163">
      <c r="G163" s="17"/>
    </row>
    <row r="164">
      <c r="G164" s="17"/>
    </row>
    <row r="165">
      <c r="G165" s="17"/>
    </row>
    <row r="166">
      <c r="G166" s="17"/>
    </row>
    <row r="167">
      <c r="G167" s="17"/>
    </row>
    <row r="168">
      <c r="G168" s="17"/>
    </row>
    <row r="169">
      <c r="G169" s="17"/>
    </row>
    <row r="170">
      <c r="G170" s="17"/>
    </row>
    <row r="171">
      <c r="G171" s="17"/>
    </row>
    <row r="172">
      <c r="G172" s="17"/>
    </row>
    <row r="173">
      <c r="G173" s="17"/>
    </row>
    <row r="174">
      <c r="G174" s="17"/>
    </row>
    <row r="175">
      <c r="G175" s="17"/>
    </row>
    <row r="176">
      <c r="G176" s="17"/>
    </row>
    <row r="177">
      <c r="G177" s="17"/>
    </row>
    <row r="178">
      <c r="G178" s="17"/>
    </row>
    <row r="179">
      <c r="G179" s="17"/>
    </row>
    <row r="180">
      <c r="G180" s="17"/>
    </row>
    <row r="181">
      <c r="G181" s="17"/>
    </row>
    <row r="182">
      <c r="G182" s="17"/>
    </row>
    <row r="183">
      <c r="G183" s="17"/>
    </row>
    <row r="184">
      <c r="G184" s="17"/>
    </row>
    <row r="185">
      <c r="G185" s="17"/>
    </row>
    <row r="186">
      <c r="G186" s="17"/>
    </row>
    <row r="187">
      <c r="G187" s="17"/>
    </row>
    <row r="188">
      <c r="G188" s="17"/>
    </row>
    <row r="189">
      <c r="G189" s="17"/>
    </row>
    <row r="190">
      <c r="G190" s="17"/>
    </row>
    <row r="191">
      <c r="G191" s="17"/>
    </row>
    <row r="192">
      <c r="G192" s="17"/>
    </row>
    <row r="193">
      <c r="G193" s="17"/>
    </row>
    <row r="194">
      <c r="G194" s="17"/>
    </row>
    <row r="195">
      <c r="G195" s="17"/>
    </row>
    <row r="196">
      <c r="G196" s="17"/>
    </row>
    <row r="197">
      <c r="G197" s="17"/>
    </row>
    <row r="198">
      <c r="G198" s="17"/>
    </row>
    <row r="199">
      <c r="G199" s="17"/>
    </row>
    <row r="200">
      <c r="G200" s="17"/>
    </row>
    <row r="201">
      <c r="G201" s="17"/>
    </row>
    <row r="202">
      <c r="G202" s="17"/>
    </row>
    <row r="203">
      <c r="G203" s="17"/>
    </row>
    <row r="204">
      <c r="G204" s="17"/>
    </row>
    <row r="205">
      <c r="G205" s="17"/>
    </row>
    <row r="206">
      <c r="G206" s="17"/>
    </row>
    <row r="207">
      <c r="G207" s="17"/>
    </row>
    <row r="208">
      <c r="G208" s="17"/>
    </row>
    <row r="209">
      <c r="G209" s="17"/>
    </row>
    <row r="210">
      <c r="G210" s="17"/>
    </row>
    <row r="211">
      <c r="G211" s="17"/>
    </row>
    <row r="212">
      <c r="G212" s="17"/>
    </row>
    <row r="213">
      <c r="G213" s="17"/>
    </row>
    <row r="214">
      <c r="G214" s="17"/>
    </row>
    <row r="215">
      <c r="G215" s="17"/>
    </row>
    <row r="216">
      <c r="G216" s="17"/>
    </row>
    <row r="217">
      <c r="G217" s="17"/>
    </row>
    <row r="218">
      <c r="G218" s="17"/>
    </row>
    <row r="219">
      <c r="G219" s="17"/>
    </row>
    <row r="220">
      <c r="G220" s="17"/>
    </row>
    <row r="221">
      <c r="G221" s="17"/>
    </row>
    <row r="222">
      <c r="G222" s="17"/>
    </row>
    <row r="223">
      <c r="G223" s="17"/>
    </row>
    <row r="224">
      <c r="G224" s="17"/>
    </row>
    <row r="225">
      <c r="G225" s="17"/>
    </row>
    <row r="226">
      <c r="G226" s="17"/>
    </row>
    <row r="227">
      <c r="G227" s="17"/>
    </row>
    <row r="228">
      <c r="G228" s="17"/>
    </row>
    <row r="229">
      <c r="G229" s="17"/>
    </row>
    <row r="230">
      <c r="G230" s="17"/>
    </row>
    <row r="231">
      <c r="G231" s="17"/>
    </row>
    <row r="232">
      <c r="G232" s="17"/>
    </row>
    <row r="233">
      <c r="G233" s="17"/>
    </row>
    <row r="234">
      <c r="G234" s="17"/>
    </row>
    <row r="235">
      <c r="G235" s="17"/>
    </row>
    <row r="236">
      <c r="G236" s="17"/>
    </row>
    <row r="237">
      <c r="G237" s="17"/>
    </row>
    <row r="238">
      <c r="G238" s="17"/>
    </row>
    <row r="239">
      <c r="G239" s="17"/>
    </row>
    <row r="240">
      <c r="G240" s="17"/>
    </row>
    <row r="241">
      <c r="G241" s="17"/>
    </row>
    <row r="242">
      <c r="G242" s="17"/>
    </row>
    <row r="243">
      <c r="G243" s="17"/>
    </row>
    <row r="244">
      <c r="G244" s="17"/>
    </row>
    <row r="245">
      <c r="G245" s="17"/>
    </row>
    <row r="246">
      <c r="G246" s="17"/>
    </row>
    <row r="247">
      <c r="G247" s="17"/>
    </row>
    <row r="248">
      <c r="G248" s="17"/>
    </row>
    <row r="249">
      <c r="G249" s="17"/>
    </row>
    <row r="250">
      <c r="G250" s="17"/>
    </row>
    <row r="251">
      <c r="G251" s="17"/>
    </row>
    <row r="252">
      <c r="G252" s="17"/>
    </row>
    <row r="253">
      <c r="G253" s="17"/>
    </row>
    <row r="254">
      <c r="G254" s="17"/>
    </row>
    <row r="255">
      <c r="G255" s="17"/>
    </row>
    <row r="256">
      <c r="G256" s="17"/>
    </row>
    <row r="257">
      <c r="G257" s="17"/>
    </row>
    <row r="258">
      <c r="G258" s="17"/>
    </row>
    <row r="259">
      <c r="G259" s="17"/>
    </row>
    <row r="260">
      <c r="G260" s="17"/>
    </row>
    <row r="261">
      <c r="G261" s="17"/>
    </row>
    <row r="262">
      <c r="G262" s="17"/>
    </row>
    <row r="263">
      <c r="G263" s="17"/>
    </row>
    <row r="264">
      <c r="G264" s="17"/>
    </row>
    <row r="265">
      <c r="G265" s="17"/>
    </row>
    <row r="266">
      <c r="G266" s="17"/>
    </row>
    <row r="267">
      <c r="G267" s="17"/>
    </row>
    <row r="268">
      <c r="G268" s="17"/>
    </row>
    <row r="269">
      <c r="G269" s="17"/>
    </row>
    <row r="270">
      <c r="G270" s="17"/>
    </row>
    <row r="271">
      <c r="G271" s="17"/>
    </row>
    <row r="272">
      <c r="G272" s="17"/>
    </row>
    <row r="273">
      <c r="G273" s="17"/>
    </row>
    <row r="274">
      <c r="G274" s="17"/>
    </row>
    <row r="275">
      <c r="G275" s="17"/>
    </row>
    <row r="276">
      <c r="G276" s="17"/>
    </row>
    <row r="277">
      <c r="G277" s="17"/>
    </row>
    <row r="278">
      <c r="G278" s="17"/>
    </row>
    <row r="279">
      <c r="G279" s="17"/>
    </row>
    <row r="280">
      <c r="G280" s="17"/>
    </row>
    <row r="281">
      <c r="G281" s="17"/>
    </row>
    <row r="282">
      <c r="G282" s="17"/>
    </row>
    <row r="283">
      <c r="G283" s="17"/>
    </row>
    <row r="284">
      <c r="G284" s="17"/>
    </row>
    <row r="285">
      <c r="G285" s="17"/>
    </row>
    <row r="286">
      <c r="G286" s="17"/>
    </row>
    <row r="287">
      <c r="G287" s="17"/>
    </row>
    <row r="288">
      <c r="G288" s="17"/>
    </row>
    <row r="289">
      <c r="G289" s="17"/>
    </row>
    <row r="290">
      <c r="G290" s="17"/>
    </row>
    <row r="291">
      <c r="G291" s="17"/>
    </row>
    <row r="292">
      <c r="G292" s="17"/>
    </row>
    <row r="293">
      <c r="G293" s="17"/>
    </row>
    <row r="294">
      <c r="G294" s="17"/>
    </row>
    <row r="295">
      <c r="G295" s="17"/>
    </row>
    <row r="296">
      <c r="G296" s="17"/>
    </row>
    <row r="297">
      <c r="G297" s="17"/>
    </row>
    <row r="298">
      <c r="G298" s="17"/>
    </row>
    <row r="299">
      <c r="G299" s="17"/>
    </row>
    <row r="300">
      <c r="G300" s="17"/>
    </row>
    <row r="301">
      <c r="G301" s="17"/>
    </row>
    <row r="302">
      <c r="G302" s="17"/>
    </row>
    <row r="303">
      <c r="G303" s="17"/>
    </row>
    <row r="304">
      <c r="G304" s="17"/>
    </row>
    <row r="305">
      <c r="G305" s="17"/>
    </row>
    <row r="306">
      <c r="G306" s="17"/>
    </row>
    <row r="307">
      <c r="G307" s="17"/>
    </row>
    <row r="308">
      <c r="G308" s="17"/>
    </row>
    <row r="309">
      <c r="G309" s="17"/>
    </row>
    <row r="310">
      <c r="G310" s="17"/>
    </row>
    <row r="311">
      <c r="G311" s="17"/>
    </row>
    <row r="312">
      <c r="G312" s="17"/>
    </row>
    <row r="313">
      <c r="G313" s="17"/>
    </row>
    <row r="314">
      <c r="G314" s="17"/>
    </row>
    <row r="315">
      <c r="G315" s="17"/>
    </row>
    <row r="316">
      <c r="G316" s="17"/>
    </row>
    <row r="317">
      <c r="G317" s="17"/>
    </row>
    <row r="318">
      <c r="G318" s="17"/>
    </row>
    <row r="319">
      <c r="G319" s="17"/>
    </row>
    <row r="320">
      <c r="G320" s="17"/>
    </row>
    <row r="321">
      <c r="G321" s="17"/>
    </row>
    <row r="322">
      <c r="G322" s="17"/>
    </row>
    <row r="323">
      <c r="G323" s="17"/>
    </row>
    <row r="324">
      <c r="G324" s="17"/>
    </row>
    <row r="325">
      <c r="G325" s="17"/>
    </row>
    <row r="326">
      <c r="G326" s="17"/>
    </row>
    <row r="327">
      <c r="G327" s="17"/>
    </row>
    <row r="328">
      <c r="G328" s="17"/>
    </row>
    <row r="329">
      <c r="G329" s="17"/>
    </row>
    <row r="330">
      <c r="G330" s="17"/>
    </row>
    <row r="331">
      <c r="G331" s="17"/>
    </row>
    <row r="332">
      <c r="G332" s="17"/>
    </row>
    <row r="333">
      <c r="G333" s="17"/>
    </row>
    <row r="334">
      <c r="G334" s="17"/>
    </row>
    <row r="335">
      <c r="G335" s="17"/>
    </row>
    <row r="336">
      <c r="G336" s="17"/>
    </row>
    <row r="337">
      <c r="G337" s="17"/>
    </row>
    <row r="338">
      <c r="G338" s="17"/>
    </row>
    <row r="339">
      <c r="G339" s="17"/>
    </row>
    <row r="340">
      <c r="G340" s="17"/>
    </row>
    <row r="341">
      <c r="G341" s="17"/>
    </row>
    <row r="342">
      <c r="G342" s="17"/>
    </row>
    <row r="343">
      <c r="G343" s="17"/>
    </row>
    <row r="344">
      <c r="G344" s="17"/>
    </row>
    <row r="345">
      <c r="G345" s="17"/>
    </row>
    <row r="346">
      <c r="G346" s="17"/>
    </row>
    <row r="347">
      <c r="G347" s="17"/>
    </row>
    <row r="348">
      <c r="G348" s="17"/>
    </row>
    <row r="349">
      <c r="G349" s="17"/>
    </row>
    <row r="350">
      <c r="G350" s="17"/>
    </row>
    <row r="351">
      <c r="G351" s="17"/>
    </row>
    <row r="352">
      <c r="G352" s="17"/>
    </row>
    <row r="353">
      <c r="G353" s="17"/>
    </row>
    <row r="354">
      <c r="G354" s="17"/>
    </row>
    <row r="355">
      <c r="G355" s="17"/>
    </row>
    <row r="356">
      <c r="G356" s="17"/>
    </row>
    <row r="357">
      <c r="G357" s="17"/>
    </row>
    <row r="358">
      <c r="G358" s="17"/>
    </row>
    <row r="359">
      <c r="G359" s="17"/>
    </row>
    <row r="360">
      <c r="G360" s="17"/>
    </row>
    <row r="361">
      <c r="G361" s="17"/>
    </row>
    <row r="362">
      <c r="G362" s="17"/>
    </row>
    <row r="363">
      <c r="G363" s="17"/>
    </row>
    <row r="364">
      <c r="G364" s="17"/>
    </row>
    <row r="365">
      <c r="G365" s="17"/>
    </row>
    <row r="366">
      <c r="G366" s="17"/>
    </row>
    <row r="367">
      <c r="G367" s="17"/>
    </row>
    <row r="368">
      <c r="G368" s="17"/>
    </row>
    <row r="369">
      <c r="G369" s="17"/>
    </row>
    <row r="370">
      <c r="G370" s="17"/>
    </row>
    <row r="371">
      <c r="G371" s="17"/>
    </row>
    <row r="372">
      <c r="G372" s="17"/>
    </row>
    <row r="373">
      <c r="G373" s="17"/>
    </row>
    <row r="374">
      <c r="G374" s="17"/>
    </row>
    <row r="375">
      <c r="G375" s="17"/>
    </row>
    <row r="376">
      <c r="G376" s="17"/>
    </row>
    <row r="377">
      <c r="G377" s="17"/>
    </row>
    <row r="378">
      <c r="G378" s="17"/>
    </row>
    <row r="379">
      <c r="G379" s="17"/>
    </row>
    <row r="380">
      <c r="G380" s="17"/>
    </row>
    <row r="381">
      <c r="G381" s="17"/>
    </row>
    <row r="382">
      <c r="G382" s="17"/>
    </row>
    <row r="383">
      <c r="G383" s="17"/>
    </row>
    <row r="384">
      <c r="G384" s="17"/>
    </row>
    <row r="385">
      <c r="G385" s="17"/>
    </row>
    <row r="386">
      <c r="G386" s="17"/>
    </row>
    <row r="387">
      <c r="G387" s="17"/>
    </row>
    <row r="388">
      <c r="G388" s="17"/>
    </row>
    <row r="389">
      <c r="G389" s="17"/>
    </row>
    <row r="390">
      <c r="G390" s="17"/>
    </row>
    <row r="391">
      <c r="G391" s="17"/>
    </row>
    <row r="392">
      <c r="G392" s="17"/>
    </row>
    <row r="393">
      <c r="G393" s="17"/>
    </row>
    <row r="394">
      <c r="G394" s="17"/>
    </row>
    <row r="395">
      <c r="G395" s="17"/>
    </row>
    <row r="396">
      <c r="G396" s="17"/>
    </row>
    <row r="397">
      <c r="G397" s="17"/>
    </row>
    <row r="398">
      <c r="G398" s="17"/>
    </row>
    <row r="399">
      <c r="G399" s="17"/>
    </row>
    <row r="400">
      <c r="G400" s="17"/>
    </row>
    <row r="401">
      <c r="G401" s="17"/>
    </row>
    <row r="402">
      <c r="G402" s="17"/>
    </row>
    <row r="403">
      <c r="G403" s="17"/>
    </row>
    <row r="404">
      <c r="G404" s="17"/>
    </row>
    <row r="405">
      <c r="G405" s="17"/>
    </row>
    <row r="406">
      <c r="G406" s="17"/>
    </row>
    <row r="407">
      <c r="G407" s="17"/>
    </row>
    <row r="408">
      <c r="G408" s="17"/>
    </row>
    <row r="409">
      <c r="G409" s="17"/>
    </row>
    <row r="410">
      <c r="G410" s="17"/>
    </row>
    <row r="411">
      <c r="G411" s="17"/>
    </row>
    <row r="412">
      <c r="G412" s="17"/>
    </row>
    <row r="413">
      <c r="G413" s="17"/>
    </row>
    <row r="414">
      <c r="G414" s="17"/>
    </row>
    <row r="415">
      <c r="G415" s="17"/>
    </row>
    <row r="416">
      <c r="G416" s="17"/>
    </row>
    <row r="417">
      <c r="G417" s="17"/>
    </row>
    <row r="418">
      <c r="G418" s="17"/>
    </row>
    <row r="419">
      <c r="G419" s="17"/>
    </row>
    <row r="420">
      <c r="G420" s="17"/>
    </row>
    <row r="421">
      <c r="G421" s="17"/>
    </row>
    <row r="422">
      <c r="G422" s="17"/>
    </row>
    <row r="423">
      <c r="G423" s="17"/>
    </row>
    <row r="424">
      <c r="G424" s="17"/>
    </row>
    <row r="425">
      <c r="G425" s="17"/>
    </row>
    <row r="426">
      <c r="G426" s="17"/>
    </row>
    <row r="427">
      <c r="G427" s="17"/>
    </row>
    <row r="428">
      <c r="G428" s="17"/>
    </row>
    <row r="429">
      <c r="G429" s="17"/>
    </row>
    <row r="430">
      <c r="G430" s="17"/>
    </row>
    <row r="431">
      <c r="G431" s="17"/>
    </row>
    <row r="432">
      <c r="G432" s="17"/>
    </row>
    <row r="433">
      <c r="G433" s="17"/>
    </row>
    <row r="434">
      <c r="G434" s="17"/>
    </row>
    <row r="435">
      <c r="G435" s="17"/>
    </row>
    <row r="436">
      <c r="G436" s="17"/>
    </row>
    <row r="437">
      <c r="G437" s="17"/>
    </row>
    <row r="438">
      <c r="G438" s="17"/>
    </row>
    <row r="439">
      <c r="G439" s="17"/>
    </row>
    <row r="440">
      <c r="G440" s="17"/>
    </row>
    <row r="441">
      <c r="G441" s="17"/>
    </row>
    <row r="442">
      <c r="G442" s="17"/>
    </row>
    <row r="443">
      <c r="G443" s="17"/>
    </row>
    <row r="444">
      <c r="G444" s="17"/>
    </row>
    <row r="445">
      <c r="G445" s="17"/>
    </row>
    <row r="446">
      <c r="G446" s="17"/>
    </row>
    <row r="447">
      <c r="G447" s="17"/>
    </row>
    <row r="448">
      <c r="G448" s="17"/>
    </row>
    <row r="449">
      <c r="G449" s="17"/>
    </row>
    <row r="450">
      <c r="G450" s="17"/>
    </row>
    <row r="451">
      <c r="G451" s="17"/>
    </row>
    <row r="452">
      <c r="G452" s="17"/>
    </row>
    <row r="453">
      <c r="G453" s="17"/>
    </row>
    <row r="454">
      <c r="G454" s="17"/>
    </row>
    <row r="455">
      <c r="G455" s="17"/>
    </row>
    <row r="456">
      <c r="G456" s="17"/>
    </row>
    <row r="457">
      <c r="G457" s="17"/>
    </row>
    <row r="458">
      <c r="G458" s="17"/>
    </row>
    <row r="459">
      <c r="G459" s="17"/>
    </row>
    <row r="460">
      <c r="G460" s="17"/>
    </row>
    <row r="461">
      <c r="G461" s="17"/>
    </row>
    <row r="462">
      <c r="G462" s="17"/>
    </row>
    <row r="463">
      <c r="G463" s="17"/>
    </row>
    <row r="464">
      <c r="G464" s="17"/>
    </row>
    <row r="465">
      <c r="G465" s="17"/>
    </row>
    <row r="466">
      <c r="G466" s="17"/>
    </row>
    <row r="467">
      <c r="G467" s="17"/>
    </row>
    <row r="468">
      <c r="G468" s="17"/>
    </row>
    <row r="469">
      <c r="G469" s="17"/>
    </row>
    <row r="470">
      <c r="G470" s="17"/>
    </row>
    <row r="471">
      <c r="G471" s="17"/>
    </row>
    <row r="472">
      <c r="G472" s="17"/>
    </row>
    <row r="473">
      <c r="G473" s="17"/>
    </row>
    <row r="474">
      <c r="G474" s="17"/>
    </row>
    <row r="475">
      <c r="G475" s="17"/>
    </row>
    <row r="476">
      <c r="G476" s="17"/>
    </row>
    <row r="477">
      <c r="G477" s="17"/>
    </row>
    <row r="478">
      <c r="G478" s="17"/>
    </row>
    <row r="479">
      <c r="G479" s="17"/>
    </row>
    <row r="480">
      <c r="G480" s="17"/>
    </row>
    <row r="481">
      <c r="G481" s="17"/>
    </row>
    <row r="482">
      <c r="G482" s="17"/>
    </row>
    <row r="483">
      <c r="G483" s="17"/>
    </row>
    <row r="484">
      <c r="G484" s="17"/>
    </row>
    <row r="485">
      <c r="G485" s="17"/>
    </row>
    <row r="486">
      <c r="G486" s="17"/>
    </row>
    <row r="487">
      <c r="G487" s="17"/>
    </row>
    <row r="488">
      <c r="G488" s="17"/>
    </row>
    <row r="489">
      <c r="G489" s="17"/>
    </row>
    <row r="490">
      <c r="G490" s="17"/>
    </row>
    <row r="491">
      <c r="G491" s="17"/>
    </row>
    <row r="492">
      <c r="G492" s="17"/>
    </row>
    <row r="493">
      <c r="G493" s="17"/>
    </row>
    <row r="494">
      <c r="G494" s="17"/>
    </row>
    <row r="495">
      <c r="G495" s="17"/>
    </row>
    <row r="496">
      <c r="G496" s="17"/>
    </row>
    <row r="497">
      <c r="G497" s="17"/>
    </row>
    <row r="498">
      <c r="G498" s="17"/>
    </row>
    <row r="499">
      <c r="G499" s="17"/>
    </row>
    <row r="500">
      <c r="G500" s="17"/>
    </row>
    <row r="501">
      <c r="G501" s="17"/>
    </row>
    <row r="502">
      <c r="G502" s="17"/>
    </row>
    <row r="503">
      <c r="G503" s="17"/>
    </row>
    <row r="504">
      <c r="G504" s="17"/>
    </row>
    <row r="505">
      <c r="G505" s="17"/>
    </row>
    <row r="506">
      <c r="G506" s="17"/>
    </row>
    <row r="507">
      <c r="G507" s="17"/>
    </row>
    <row r="508">
      <c r="G508" s="17"/>
    </row>
    <row r="509">
      <c r="G509" s="17"/>
    </row>
    <row r="510">
      <c r="G510" s="17"/>
    </row>
    <row r="511">
      <c r="G511" s="17"/>
    </row>
    <row r="512">
      <c r="G512" s="17"/>
    </row>
    <row r="513">
      <c r="G513" s="17"/>
    </row>
    <row r="514">
      <c r="G514" s="17"/>
    </row>
    <row r="515">
      <c r="G515" s="17"/>
    </row>
    <row r="516">
      <c r="G516" s="17"/>
    </row>
    <row r="517">
      <c r="G517" s="17"/>
    </row>
    <row r="518">
      <c r="G518" s="17"/>
    </row>
    <row r="519">
      <c r="G519" s="17"/>
    </row>
    <row r="520">
      <c r="G520" s="17"/>
    </row>
    <row r="521">
      <c r="G521" s="17"/>
    </row>
    <row r="522">
      <c r="G522" s="17"/>
    </row>
    <row r="523">
      <c r="G523" s="17"/>
    </row>
    <row r="524">
      <c r="G524" s="17"/>
    </row>
    <row r="525">
      <c r="G525" s="17"/>
    </row>
    <row r="526">
      <c r="G526" s="17"/>
    </row>
    <row r="527">
      <c r="G527" s="17"/>
    </row>
    <row r="528">
      <c r="G528" s="17"/>
    </row>
    <row r="529">
      <c r="G529" s="17"/>
    </row>
    <row r="530">
      <c r="G530" s="17"/>
    </row>
    <row r="531">
      <c r="G531" s="17"/>
    </row>
    <row r="532">
      <c r="G532" s="17"/>
    </row>
    <row r="533">
      <c r="G533" s="17"/>
    </row>
    <row r="534">
      <c r="G534" s="17"/>
    </row>
    <row r="535">
      <c r="G535" s="17"/>
    </row>
    <row r="536">
      <c r="G536" s="17"/>
    </row>
    <row r="537">
      <c r="G537" s="17"/>
    </row>
    <row r="538">
      <c r="G538" s="17"/>
    </row>
    <row r="539">
      <c r="G539" s="17"/>
    </row>
    <row r="540">
      <c r="G540" s="17"/>
    </row>
    <row r="541">
      <c r="G541" s="17"/>
    </row>
    <row r="542">
      <c r="G542" s="17"/>
    </row>
    <row r="543">
      <c r="G543" s="17"/>
    </row>
    <row r="544">
      <c r="G544" s="17"/>
    </row>
    <row r="545">
      <c r="G545" s="17"/>
    </row>
    <row r="546">
      <c r="G546" s="17"/>
    </row>
    <row r="547">
      <c r="G547" s="17"/>
    </row>
    <row r="548">
      <c r="G548" s="17"/>
    </row>
    <row r="549">
      <c r="G549" s="17"/>
    </row>
    <row r="550">
      <c r="G550" s="17"/>
    </row>
    <row r="551">
      <c r="G551" s="17"/>
    </row>
    <row r="552">
      <c r="G552" s="17"/>
    </row>
    <row r="553">
      <c r="G553" s="17"/>
    </row>
    <row r="554">
      <c r="G554" s="17"/>
    </row>
    <row r="555">
      <c r="G555" s="17"/>
    </row>
    <row r="556">
      <c r="G556" s="17"/>
    </row>
    <row r="557">
      <c r="G557" s="17"/>
    </row>
    <row r="558">
      <c r="G558" s="17"/>
    </row>
    <row r="559">
      <c r="G559" s="17"/>
    </row>
    <row r="560">
      <c r="G560" s="17"/>
    </row>
    <row r="561">
      <c r="G561" s="17"/>
    </row>
    <row r="562">
      <c r="G562" s="17"/>
    </row>
    <row r="563">
      <c r="G563" s="17"/>
    </row>
    <row r="564">
      <c r="G564" s="17"/>
    </row>
    <row r="565">
      <c r="G565" s="17"/>
    </row>
    <row r="566">
      <c r="G566" s="17"/>
    </row>
    <row r="567">
      <c r="G567" s="17"/>
    </row>
    <row r="568">
      <c r="G568" s="17"/>
    </row>
    <row r="569">
      <c r="G569" s="17"/>
    </row>
    <row r="570">
      <c r="G570" s="17"/>
    </row>
    <row r="571">
      <c r="G571" s="17"/>
    </row>
    <row r="572">
      <c r="G572" s="17"/>
    </row>
    <row r="573">
      <c r="G573" s="17"/>
    </row>
    <row r="574">
      <c r="G574" s="17"/>
    </row>
    <row r="575">
      <c r="G575" s="17"/>
    </row>
    <row r="576">
      <c r="G576" s="17"/>
    </row>
    <row r="577">
      <c r="G577" s="17"/>
    </row>
    <row r="578">
      <c r="G578" s="17"/>
    </row>
    <row r="579">
      <c r="G579" s="17"/>
    </row>
    <row r="580">
      <c r="G580" s="17"/>
    </row>
    <row r="581">
      <c r="G581" s="17"/>
    </row>
    <row r="582">
      <c r="G582" s="17"/>
    </row>
    <row r="583">
      <c r="G583" s="17"/>
    </row>
    <row r="584">
      <c r="G584" s="17"/>
    </row>
    <row r="585">
      <c r="G585" s="17"/>
    </row>
    <row r="586">
      <c r="G586" s="17"/>
    </row>
    <row r="587">
      <c r="G587" s="17"/>
    </row>
    <row r="588">
      <c r="G588" s="17"/>
    </row>
    <row r="589">
      <c r="G589" s="17"/>
    </row>
    <row r="590">
      <c r="G590" s="17"/>
    </row>
    <row r="591">
      <c r="G591" s="17"/>
    </row>
    <row r="592">
      <c r="G592" s="17"/>
    </row>
    <row r="593">
      <c r="G593" s="17"/>
    </row>
    <row r="594">
      <c r="G594" s="17"/>
    </row>
    <row r="595">
      <c r="G595" s="17"/>
    </row>
    <row r="596">
      <c r="G596" s="17"/>
    </row>
    <row r="597">
      <c r="G597" s="17"/>
    </row>
    <row r="598">
      <c r="G598" s="17"/>
    </row>
    <row r="599">
      <c r="G599" s="17"/>
    </row>
    <row r="600">
      <c r="G600" s="17"/>
    </row>
    <row r="601">
      <c r="G601" s="17"/>
    </row>
    <row r="602">
      <c r="G602" s="17"/>
    </row>
    <row r="603">
      <c r="G603" s="17"/>
    </row>
    <row r="604">
      <c r="G604" s="17"/>
    </row>
    <row r="605">
      <c r="G605" s="17"/>
    </row>
    <row r="606">
      <c r="G606" s="17"/>
    </row>
    <row r="607">
      <c r="G607" s="17"/>
    </row>
    <row r="608">
      <c r="G608" s="17"/>
    </row>
    <row r="609">
      <c r="G609" s="17"/>
    </row>
    <row r="610">
      <c r="G610" s="17"/>
    </row>
    <row r="611">
      <c r="G611" s="17"/>
    </row>
    <row r="612">
      <c r="G612" s="17"/>
    </row>
    <row r="613">
      <c r="G613" s="17"/>
    </row>
    <row r="614">
      <c r="G614" s="17"/>
    </row>
    <row r="615">
      <c r="G615" s="17"/>
    </row>
    <row r="616">
      <c r="G616" s="17"/>
    </row>
    <row r="617">
      <c r="G617" s="17"/>
    </row>
    <row r="618">
      <c r="G618" s="17"/>
    </row>
    <row r="619">
      <c r="G619" s="17"/>
    </row>
    <row r="620">
      <c r="G620" s="17"/>
    </row>
    <row r="621">
      <c r="G621" s="17"/>
    </row>
    <row r="622">
      <c r="G622" s="17"/>
    </row>
    <row r="623">
      <c r="G623" s="17"/>
    </row>
    <row r="624">
      <c r="G624" s="17"/>
    </row>
    <row r="625">
      <c r="G625" s="17"/>
    </row>
    <row r="626">
      <c r="G626" s="17"/>
    </row>
    <row r="627">
      <c r="G627" s="17"/>
    </row>
    <row r="628">
      <c r="G628" s="17"/>
    </row>
    <row r="629">
      <c r="G629" s="17"/>
    </row>
    <row r="630">
      <c r="G630" s="17"/>
    </row>
    <row r="631">
      <c r="G631" s="17"/>
    </row>
    <row r="632">
      <c r="G632" s="17"/>
    </row>
    <row r="633">
      <c r="G633" s="17"/>
    </row>
    <row r="634">
      <c r="G634" s="17"/>
    </row>
    <row r="635">
      <c r="G635" s="17"/>
    </row>
    <row r="636">
      <c r="G636" s="17"/>
    </row>
    <row r="637">
      <c r="G637" s="17"/>
    </row>
    <row r="638">
      <c r="G638" s="17"/>
    </row>
    <row r="639">
      <c r="G639" s="17"/>
    </row>
    <row r="640">
      <c r="G640" s="17"/>
    </row>
    <row r="641">
      <c r="G641" s="17"/>
    </row>
    <row r="642">
      <c r="G642" s="17"/>
    </row>
    <row r="643">
      <c r="G643" s="17"/>
    </row>
    <row r="644">
      <c r="G644" s="17"/>
    </row>
    <row r="645">
      <c r="G645" s="17"/>
    </row>
    <row r="646">
      <c r="G646" s="17"/>
    </row>
    <row r="647">
      <c r="G647" s="17"/>
    </row>
    <row r="648">
      <c r="G648" s="17"/>
    </row>
    <row r="649">
      <c r="G649" s="17"/>
    </row>
    <row r="650">
      <c r="G650" s="17"/>
    </row>
    <row r="651">
      <c r="G651" s="17"/>
    </row>
    <row r="652">
      <c r="G652" s="17"/>
    </row>
    <row r="653">
      <c r="G653" s="17"/>
    </row>
    <row r="654">
      <c r="G654" s="17"/>
    </row>
    <row r="655">
      <c r="G655" s="17"/>
    </row>
    <row r="656">
      <c r="G656" s="17"/>
    </row>
    <row r="657">
      <c r="G657" s="17"/>
    </row>
    <row r="658">
      <c r="G658" s="17"/>
    </row>
    <row r="659">
      <c r="G659" s="17"/>
    </row>
    <row r="660">
      <c r="G660" s="17"/>
    </row>
    <row r="661">
      <c r="G661" s="17"/>
    </row>
    <row r="662">
      <c r="G662" s="17"/>
    </row>
    <row r="663">
      <c r="G663" s="17"/>
    </row>
    <row r="664">
      <c r="G664" s="17"/>
    </row>
    <row r="665">
      <c r="G665" s="17"/>
    </row>
    <row r="666">
      <c r="G666" s="17"/>
    </row>
    <row r="667">
      <c r="G667" s="17"/>
    </row>
    <row r="668">
      <c r="G668" s="17"/>
    </row>
    <row r="669">
      <c r="G669" s="17"/>
    </row>
    <row r="670">
      <c r="G670" s="17"/>
    </row>
    <row r="671">
      <c r="G671" s="17"/>
    </row>
    <row r="672">
      <c r="G672" s="17"/>
    </row>
    <row r="673">
      <c r="G673" s="17"/>
    </row>
    <row r="674">
      <c r="G674" s="17"/>
    </row>
    <row r="675">
      <c r="G675" s="17"/>
    </row>
    <row r="676">
      <c r="G676" s="17"/>
    </row>
    <row r="677">
      <c r="G677" s="17"/>
    </row>
    <row r="678">
      <c r="G678" s="17"/>
    </row>
    <row r="679">
      <c r="G679" s="17"/>
    </row>
    <row r="680">
      <c r="G680" s="17"/>
    </row>
    <row r="681">
      <c r="G681" s="17"/>
    </row>
    <row r="682">
      <c r="G682" s="17"/>
    </row>
    <row r="683">
      <c r="G683" s="17"/>
    </row>
    <row r="684">
      <c r="G684" s="17"/>
    </row>
    <row r="685">
      <c r="G685" s="17"/>
    </row>
    <row r="686">
      <c r="G686" s="17"/>
    </row>
    <row r="687">
      <c r="G687" s="17"/>
    </row>
    <row r="688">
      <c r="G688" s="17"/>
    </row>
    <row r="689">
      <c r="G689" s="17"/>
    </row>
    <row r="690">
      <c r="G690" s="17"/>
    </row>
    <row r="691">
      <c r="G691" s="17"/>
    </row>
    <row r="692">
      <c r="G692" s="17"/>
    </row>
    <row r="693">
      <c r="G693" s="17"/>
    </row>
    <row r="694">
      <c r="G694" s="17"/>
    </row>
    <row r="695">
      <c r="G695" s="17"/>
    </row>
    <row r="696">
      <c r="G696" s="17"/>
    </row>
    <row r="697">
      <c r="G697" s="17"/>
    </row>
    <row r="698">
      <c r="G698" s="17"/>
    </row>
    <row r="699">
      <c r="G699" s="17"/>
    </row>
    <row r="700">
      <c r="G700" s="17"/>
    </row>
    <row r="701">
      <c r="G701" s="17"/>
    </row>
    <row r="702">
      <c r="G702" s="17"/>
    </row>
    <row r="703">
      <c r="G703" s="17"/>
    </row>
    <row r="704">
      <c r="G704" s="17"/>
    </row>
    <row r="705">
      <c r="G705" s="17"/>
    </row>
    <row r="706">
      <c r="G706" s="17"/>
    </row>
    <row r="707">
      <c r="G707" s="17"/>
    </row>
    <row r="708">
      <c r="G708" s="17"/>
    </row>
    <row r="709">
      <c r="G709" s="17"/>
    </row>
    <row r="710">
      <c r="G710" s="17"/>
    </row>
    <row r="711">
      <c r="G711" s="17"/>
    </row>
    <row r="712">
      <c r="G712" s="17"/>
    </row>
    <row r="713">
      <c r="G713" s="17"/>
    </row>
    <row r="714">
      <c r="G714" s="17"/>
    </row>
    <row r="715">
      <c r="G715" s="17"/>
    </row>
    <row r="716">
      <c r="G716" s="17"/>
    </row>
    <row r="717">
      <c r="G717" s="17"/>
    </row>
    <row r="718">
      <c r="G718" s="17"/>
    </row>
    <row r="719">
      <c r="G719" s="17"/>
    </row>
    <row r="720">
      <c r="G720" s="17"/>
    </row>
    <row r="721">
      <c r="G721" s="17"/>
    </row>
    <row r="722">
      <c r="G722" s="17"/>
    </row>
    <row r="723">
      <c r="G723" s="17"/>
    </row>
    <row r="724">
      <c r="G724" s="17"/>
    </row>
    <row r="725">
      <c r="G725" s="17"/>
    </row>
    <row r="726">
      <c r="G726" s="17"/>
    </row>
    <row r="727">
      <c r="G727" s="17"/>
    </row>
    <row r="728">
      <c r="G728" s="17"/>
    </row>
    <row r="729">
      <c r="G729" s="17"/>
    </row>
    <row r="730">
      <c r="G730" s="17"/>
    </row>
    <row r="731">
      <c r="G731" s="17"/>
    </row>
    <row r="732">
      <c r="G732" s="17"/>
    </row>
    <row r="733">
      <c r="G733" s="17"/>
    </row>
    <row r="734">
      <c r="G734" s="17"/>
    </row>
    <row r="735">
      <c r="G735" s="17"/>
    </row>
    <row r="736">
      <c r="G736" s="17"/>
    </row>
    <row r="737">
      <c r="G737" s="17"/>
    </row>
    <row r="738">
      <c r="G738" s="17"/>
    </row>
    <row r="739">
      <c r="G739" s="17"/>
    </row>
    <row r="740">
      <c r="G740" s="17"/>
    </row>
    <row r="741">
      <c r="G741" s="17"/>
    </row>
    <row r="742">
      <c r="G742" s="17"/>
    </row>
    <row r="743">
      <c r="G743" s="17"/>
    </row>
    <row r="744">
      <c r="G744" s="17"/>
    </row>
    <row r="745">
      <c r="G745" s="17"/>
    </row>
    <row r="746">
      <c r="G746" s="17"/>
    </row>
    <row r="747">
      <c r="G747" s="17"/>
    </row>
    <row r="748">
      <c r="G748" s="17"/>
    </row>
    <row r="749">
      <c r="G749" s="17"/>
    </row>
    <row r="750">
      <c r="G750" s="17"/>
    </row>
    <row r="751">
      <c r="G751" s="17"/>
    </row>
    <row r="752">
      <c r="G752" s="17"/>
    </row>
    <row r="753">
      <c r="G753" s="17"/>
    </row>
    <row r="754">
      <c r="G754" s="17"/>
    </row>
    <row r="755">
      <c r="G755" s="17"/>
    </row>
    <row r="756">
      <c r="G756" s="17"/>
    </row>
    <row r="757">
      <c r="G757" s="17"/>
    </row>
    <row r="758">
      <c r="G758" s="17"/>
    </row>
    <row r="759">
      <c r="G759" s="17"/>
    </row>
    <row r="760">
      <c r="G760" s="17"/>
    </row>
    <row r="761">
      <c r="G761" s="17"/>
    </row>
    <row r="762">
      <c r="G762" s="17"/>
    </row>
    <row r="763">
      <c r="G763" s="17"/>
    </row>
    <row r="764">
      <c r="G764" s="17"/>
    </row>
    <row r="765">
      <c r="G765" s="17"/>
    </row>
    <row r="766">
      <c r="G766" s="17"/>
    </row>
    <row r="767">
      <c r="G767" s="17"/>
    </row>
    <row r="768">
      <c r="G768" s="17"/>
    </row>
    <row r="769">
      <c r="G769" s="17"/>
    </row>
    <row r="770">
      <c r="G770" s="17"/>
    </row>
    <row r="771">
      <c r="G771" s="17"/>
    </row>
    <row r="772">
      <c r="G772" s="17"/>
    </row>
    <row r="773">
      <c r="G773" s="17"/>
    </row>
    <row r="774">
      <c r="G774" s="17"/>
    </row>
    <row r="775">
      <c r="G775" s="17"/>
    </row>
    <row r="776">
      <c r="G776" s="17"/>
    </row>
    <row r="777">
      <c r="G777" s="17"/>
    </row>
    <row r="778">
      <c r="G778" s="17"/>
    </row>
    <row r="779">
      <c r="G779" s="17"/>
    </row>
    <row r="780">
      <c r="G780" s="17"/>
    </row>
    <row r="781">
      <c r="G781" s="17"/>
    </row>
    <row r="782">
      <c r="G782" s="17"/>
    </row>
    <row r="783">
      <c r="G783" s="17"/>
    </row>
    <row r="784">
      <c r="G784" s="17"/>
    </row>
    <row r="785">
      <c r="G785" s="17"/>
    </row>
    <row r="786">
      <c r="G786" s="17"/>
    </row>
    <row r="787">
      <c r="G787" s="17"/>
    </row>
    <row r="788">
      <c r="G788" s="17"/>
    </row>
    <row r="789">
      <c r="G789" s="17"/>
    </row>
    <row r="790">
      <c r="G790" s="17"/>
    </row>
    <row r="791">
      <c r="G791" s="17"/>
    </row>
    <row r="792">
      <c r="G792" s="17"/>
    </row>
    <row r="793">
      <c r="G793" s="17"/>
    </row>
    <row r="794">
      <c r="G794" s="17"/>
    </row>
    <row r="795">
      <c r="G795" s="17"/>
    </row>
    <row r="796">
      <c r="G796" s="17"/>
    </row>
    <row r="797">
      <c r="G797" s="17"/>
    </row>
    <row r="798">
      <c r="G798" s="17"/>
    </row>
    <row r="799">
      <c r="G799" s="17"/>
    </row>
    <row r="800">
      <c r="G800" s="17"/>
    </row>
    <row r="801">
      <c r="G801" s="17"/>
    </row>
    <row r="802">
      <c r="G802" s="17"/>
    </row>
    <row r="803">
      <c r="G803" s="17"/>
    </row>
    <row r="804">
      <c r="G804" s="17"/>
    </row>
    <row r="805">
      <c r="G805" s="17"/>
    </row>
    <row r="806">
      <c r="G806" s="17"/>
    </row>
    <row r="807">
      <c r="G807" s="17"/>
    </row>
    <row r="808">
      <c r="G808" s="17"/>
    </row>
    <row r="809">
      <c r="G809" s="17"/>
    </row>
    <row r="810">
      <c r="G810" s="17"/>
    </row>
    <row r="811">
      <c r="G811" s="17"/>
    </row>
    <row r="812">
      <c r="G812" s="17"/>
    </row>
    <row r="813">
      <c r="G813" s="17"/>
    </row>
    <row r="814">
      <c r="G814" s="17"/>
    </row>
    <row r="815">
      <c r="G815" s="17"/>
    </row>
    <row r="816">
      <c r="G816" s="17"/>
    </row>
    <row r="817">
      <c r="G817" s="17"/>
    </row>
    <row r="818">
      <c r="G818" s="17"/>
    </row>
    <row r="819">
      <c r="G819" s="17"/>
    </row>
    <row r="820">
      <c r="G820" s="17"/>
    </row>
    <row r="821">
      <c r="G821" s="17"/>
    </row>
    <row r="822">
      <c r="G822" s="17"/>
    </row>
    <row r="823">
      <c r="G823" s="17"/>
    </row>
    <row r="824">
      <c r="G824" s="17"/>
    </row>
    <row r="825">
      <c r="G825" s="17"/>
    </row>
    <row r="826">
      <c r="G826" s="17"/>
    </row>
    <row r="827">
      <c r="G827" s="17"/>
    </row>
    <row r="828">
      <c r="G828" s="17"/>
    </row>
    <row r="829">
      <c r="G829" s="17"/>
    </row>
    <row r="830">
      <c r="G830" s="17"/>
    </row>
    <row r="831">
      <c r="G831" s="17"/>
    </row>
    <row r="832">
      <c r="G832" s="17"/>
    </row>
    <row r="833">
      <c r="G833" s="17"/>
    </row>
    <row r="834">
      <c r="G834" s="17"/>
    </row>
    <row r="835">
      <c r="G835" s="17"/>
    </row>
    <row r="836">
      <c r="G836" s="17"/>
    </row>
    <row r="837">
      <c r="G837" s="17"/>
    </row>
    <row r="838">
      <c r="G838" s="17"/>
    </row>
    <row r="839">
      <c r="G839" s="17"/>
    </row>
    <row r="840">
      <c r="G840" s="17"/>
    </row>
    <row r="841">
      <c r="G841" s="17"/>
    </row>
    <row r="842">
      <c r="G842" s="17"/>
    </row>
    <row r="843">
      <c r="G843" s="17"/>
    </row>
    <row r="844">
      <c r="G844" s="17"/>
    </row>
    <row r="845">
      <c r="G845" s="17"/>
    </row>
    <row r="846">
      <c r="G846" s="17"/>
    </row>
    <row r="847">
      <c r="G847" s="17"/>
    </row>
    <row r="848">
      <c r="G848" s="17"/>
    </row>
    <row r="849">
      <c r="G849" s="17"/>
    </row>
    <row r="850">
      <c r="G850" s="17"/>
    </row>
    <row r="851">
      <c r="G851" s="17"/>
    </row>
    <row r="852">
      <c r="G852" s="17"/>
    </row>
    <row r="853">
      <c r="G853" s="17"/>
    </row>
    <row r="854">
      <c r="G854" s="17"/>
    </row>
    <row r="855">
      <c r="G855" s="17"/>
    </row>
    <row r="856">
      <c r="G856" s="17"/>
    </row>
    <row r="857">
      <c r="G857" s="17"/>
    </row>
    <row r="858">
      <c r="G858" s="17"/>
    </row>
    <row r="859">
      <c r="G859" s="17"/>
    </row>
    <row r="860">
      <c r="G860" s="17"/>
    </row>
    <row r="861">
      <c r="G861" s="17"/>
    </row>
    <row r="862">
      <c r="G862" s="17"/>
    </row>
    <row r="863">
      <c r="G863" s="17"/>
    </row>
    <row r="864">
      <c r="G864" s="17"/>
    </row>
    <row r="865">
      <c r="G865" s="17"/>
    </row>
    <row r="866">
      <c r="G866" s="17"/>
    </row>
    <row r="867">
      <c r="G867" s="17"/>
    </row>
    <row r="868">
      <c r="G868" s="17"/>
    </row>
    <row r="869">
      <c r="G869" s="17"/>
    </row>
    <row r="870">
      <c r="G870" s="17"/>
    </row>
    <row r="871">
      <c r="G871" s="17"/>
    </row>
    <row r="872">
      <c r="G872" s="17"/>
    </row>
    <row r="873">
      <c r="G873" s="17"/>
    </row>
    <row r="874">
      <c r="G874" s="17"/>
    </row>
    <row r="875">
      <c r="G875" s="17"/>
    </row>
    <row r="876">
      <c r="G876" s="17"/>
    </row>
    <row r="877">
      <c r="G877" s="17"/>
    </row>
    <row r="878">
      <c r="G878" s="17"/>
    </row>
    <row r="879">
      <c r="G879" s="17"/>
    </row>
    <row r="880">
      <c r="G880" s="17"/>
    </row>
    <row r="881">
      <c r="G881" s="17"/>
    </row>
    <row r="882">
      <c r="G882" s="17"/>
    </row>
    <row r="883">
      <c r="G883" s="17"/>
    </row>
    <row r="884">
      <c r="G884" s="17"/>
    </row>
    <row r="885">
      <c r="G885" s="17"/>
    </row>
    <row r="886">
      <c r="G886" s="17"/>
    </row>
    <row r="887">
      <c r="G887" s="17"/>
    </row>
    <row r="888">
      <c r="G888" s="17"/>
    </row>
    <row r="889">
      <c r="G889" s="17"/>
    </row>
    <row r="890">
      <c r="G890" s="17"/>
    </row>
    <row r="891">
      <c r="G891" s="17"/>
    </row>
    <row r="892">
      <c r="G892" s="17"/>
    </row>
    <row r="893">
      <c r="G893" s="17"/>
    </row>
    <row r="894">
      <c r="G894" s="17"/>
    </row>
    <row r="895">
      <c r="G895" s="17"/>
    </row>
    <row r="896">
      <c r="G896" s="17"/>
    </row>
    <row r="897">
      <c r="G897" s="17"/>
    </row>
    <row r="898">
      <c r="G898" s="17"/>
    </row>
    <row r="899">
      <c r="G899" s="17"/>
    </row>
    <row r="900">
      <c r="G900" s="17"/>
    </row>
    <row r="901">
      <c r="G901" s="17"/>
    </row>
    <row r="902">
      <c r="G902" s="17"/>
    </row>
    <row r="903">
      <c r="G903" s="17"/>
    </row>
    <row r="904">
      <c r="G904" s="17"/>
    </row>
    <row r="905">
      <c r="G905" s="17"/>
    </row>
    <row r="906">
      <c r="G906" s="17"/>
    </row>
    <row r="907">
      <c r="G907" s="17"/>
    </row>
    <row r="908">
      <c r="G908" s="17"/>
    </row>
    <row r="909">
      <c r="G909" s="17"/>
    </row>
    <row r="910">
      <c r="G910" s="17"/>
    </row>
    <row r="911">
      <c r="G911" s="17"/>
    </row>
    <row r="912">
      <c r="G912" s="17"/>
    </row>
    <row r="913">
      <c r="G913" s="17"/>
    </row>
    <row r="914">
      <c r="G914" s="17"/>
    </row>
    <row r="915">
      <c r="G915" s="17"/>
    </row>
    <row r="916">
      <c r="G916" s="17"/>
    </row>
    <row r="917">
      <c r="G917" s="17"/>
    </row>
    <row r="918">
      <c r="G918" s="17"/>
    </row>
    <row r="919">
      <c r="G919" s="17"/>
    </row>
    <row r="920">
      <c r="G920" s="17"/>
    </row>
    <row r="921">
      <c r="G921" s="17"/>
    </row>
    <row r="922">
      <c r="G922" s="17"/>
    </row>
    <row r="923">
      <c r="G923" s="17"/>
    </row>
    <row r="924">
      <c r="G924" s="17"/>
    </row>
    <row r="925">
      <c r="G925" s="17"/>
    </row>
    <row r="926">
      <c r="G926" s="17"/>
    </row>
    <row r="927">
      <c r="G927" s="17"/>
    </row>
    <row r="928">
      <c r="G928" s="17"/>
    </row>
    <row r="929">
      <c r="G929" s="17"/>
    </row>
    <row r="930">
      <c r="G930" s="17"/>
    </row>
    <row r="931">
      <c r="G931" s="17"/>
    </row>
    <row r="932">
      <c r="G932" s="17"/>
    </row>
    <row r="933">
      <c r="G933" s="17"/>
    </row>
    <row r="934">
      <c r="G934" s="17"/>
    </row>
    <row r="935">
      <c r="G935" s="17"/>
    </row>
    <row r="936">
      <c r="G936" s="17"/>
    </row>
    <row r="937">
      <c r="G937" s="17"/>
    </row>
    <row r="938">
      <c r="G938" s="17"/>
    </row>
    <row r="939">
      <c r="G939" s="17"/>
    </row>
    <row r="940">
      <c r="G940" s="17"/>
    </row>
    <row r="941">
      <c r="G941" s="17"/>
    </row>
    <row r="942">
      <c r="G942" s="17"/>
    </row>
    <row r="943">
      <c r="G943" s="17"/>
    </row>
    <row r="944">
      <c r="G944" s="17"/>
    </row>
    <row r="945">
      <c r="G945" s="17"/>
    </row>
    <row r="946">
      <c r="G946" s="17"/>
    </row>
    <row r="947">
      <c r="G947" s="17"/>
    </row>
    <row r="948">
      <c r="G948" s="17"/>
    </row>
    <row r="949">
      <c r="G949" s="17"/>
    </row>
    <row r="950">
      <c r="G950" s="17"/>
    </row>
    <row r="951">
      <c r="G951" s="17"/>
    </row>
    <row r="952">
      <c r="G952" s="17"/>
    </row>
    <row r="953">
      <c r="G953" s="17"/>
    </row>
    <row r="954">
      <c r="G954" s="17"/>
    </row>
    <row r="955">
      <c r="G955" s="17"/>
    </row>
    <row r="956">
      <c r="G956" s="17"/>
    </row>
    <row r="957">
      <c r="G957" s="17"/>
    </row>
    <row r="958">
      <c r="G958" s="17"/>
    </row>
    <row r="959">
      <c r="G959" s="17"/>
    </row>
    <row r="960">
      <c r="G960" s="17"/>
    </row>
    <row r="961">
      <c r="G961" s="17"/>
    </row>
    <row r="962">
      <c r="G962" s="17"/>
    </row>
    <row r="963">
      <c r="G963" s="17"/>
    </row>
    <row r="964">
      <c r="G964" s="17"/>
    </row>
    <row r="965">
      <c r="G965" s="17"/>
    </row>
    <row r="966">
      <c r="G966" s="17"/>
    </row>
    <row r="967">
      <c r="G967" s="17"/>
    </row>
    <row r="968">
      <c r="G968" s="17"/>
    </row>
    <row r="969">
      <c r="G969" s="17"/>
    </row>
    <row r="970">
      <c r="G970" s="17"/>
    </row>
    <row r="971">
      <c r="G971" s="17"/>
    </row>
    <row r="972">
      <c r="G972" s="17"/>
    </row>
    <row r="973">
      <c r="G973" s="17"/>
    </row>
    <row r="974">
      <c r="G974" s="17"/>
    </row>
    <row r="975">
      <c r="G975" s="17"/>
    </row>
    <row r="976">
      <c r="G976" s="17"/>
    </row>
    <row r="977">
      <c r="G977" s="17"/>
    </row>
    <row r="978">
      <c r="G978" s="17"/>
    </row>
    <row r="979">
      <c r="G979" s="17"/>
    </row>
    <row r="980">
      <c r="G980" s="17"/>
    </row>
    <row r="981">
      <c r="G981" s="17"/>
    </row>
    <row r="982">
      <c r="G982" s="17"/>
    </row>
    <row r="983">
      <c r="G983" s="17"/>
    </row>
    <row r="984">
      <c r="G984" s="17"/>
    </row>
    <row r="985">
      <c r="G985" s="17"/>
    </row>
    <row r="986">
      <c r="G986" s="17"/>
    </row>
    <row r="987">
      <c r="G987" s="17"/>
    </row>
    <row r="988">
      <c r="G988" s="17"/>
    </row>
    <row r="989">
      <c r="G989" s="17"/>
    </row>
    <row r="990">
      <c r="G990" s="17"/>
    </row>
    <row r="991">
      <c r="G991" s="17"/>
    </row>
    <row r="992">
      <c r="G992" s="17"/>
    </row>
    <row r="993">
      <c r="G993" s="17"/>
    </row>
    <row r="994">
      <c r="G994" s="17"/>
    </row>
    <row r="995">
      <c r="G995" s="17"/>
    </row>
    <row r="996">
      <c r="G996" s="17"/>
    </row>
    <row r="997">
      <c r="G997" s="17"/>
    </row>
    <row r="998">
      <c r="G998" s="17"/>
    </row>
    <row r="999">
      <c r="G999" s="17"/>
    </row>
    <row r="1000">
      <c r="G1000" s="17"/>
    </row>
    <row r="1001">
      <c r="G1001" s="17"/>
    </row>
    <row r="1002">
      <c r="G1002" s="17"/>
    </row>
    <row r="1003">
      <c r="G1003" s="17"/>
    </row>
    <row r="1004">
      <c r="G1004" s="17"/>
    </row>
    <row r="1005">
      <c r="G1005" s="17"/>
    </row>
    <row r="1006">
      <c r="G1006" s="17"/>
    </row>
    <row r="1007">
      <c r="G1007" s="17"/>
    </row>
    <row r="1008">
      <c r="G1008" s="17"/>
    </row>
    <row r="1009">
      <c r="G1009" s="17"/>
    </row>
    <row r="1010">
      <c r="G1010" s="17"/>
    </row>
    <row r="1011">
      <c r="G1011" s="17"/>
    </row>
    <row r="1012">
      <c r="G1012" s="17"/>
    </row>
    <row r="1013">
      <c r="G1013" s="17"/>
    </row>
    <row r="1014">
      <c r="G1014" s="17"/>
    </row>
    <row r="1015">
      <c r="G1015" s="17"/>
    </row>
    <row r="1016">
      <c r="G1016" s="17"/>
    </row>
    <row r="1017">
      <c r="G1017" s="17"/>
    </row>
    <row r="1018">
      <c r="G1018" s="17"/>
    </row>
    <row r="1019">
      <c r="G1019" s="17"/>
    </row>
    <row r="1020">
      <c r="G1020" s="17"/>
    </row>
    <row r="1021">
      <c r="G1021" s="17"/>
    </row>
    <row r="1022">
      <c r="G1022" s="17"/>
    </row>
    <row r="1023">
      <c r="G1023" s="17"/>
    </row>
    <row r="1024">
      <c r="G1024" s="17"/>
    </row>
    <row r="1025">
      <c r="G1025" s="17"/>
    </row>
    <row r="1026">
      <c r="G1026" s="17"/>
    </row>
    <row r="1027">
      <c r="G1027" s="17"/>
    </row>
    <row r="1028">
      <c r="G1028" s="17"/>
    </row>
    <row r="1029">
      <c r="G1029" s="17"/>
    </row>
    <row r="1030">
      <c r="G1030" s="17"/>
    </row>
    <row r="1031">
      <c r="G1031" s="17"/>
    </row>
    <row r="1032">
      <c r="G1032" s="17"/>
    </row>
    <row r="1033">
      <c r="G1033" s="17"/>
    </row>
    <row r="1034">
      <c r="G1034" s="17"/>
    </row>
    <row r="1035">
      <c r="G1035" s="17"/>
    </row>
    <row r="1036">
      <c r="G1036" s="17"/>
    </row>
    <row r="1037">
      <c r="G1037" s="17"/>
    </row>
    <row r="1038">
      <c r="G1038" s="17"/>
    </row>
  </sheetData>
  <mergeCells count="6">
    <mergeCell ref="A18:B18"/>
    <mergeCell ref="A34:B34"/>
    <mergeCell ref="A42:B42"/>
    <mergeCell ref="A50:B50"/>
    <mergeCell ref="A62:B62"/>
    <mergeCell ref="A79:B79"/>
  </mergeCells>
  <conditionalFormatting sqref="N11">
    <cfRule type="notContainsBlanks" dxfId="0" priority="1">
      <formula>LEN(TRIM(N11))&gt;0</formula>
    </cfRule>
  </conditionalFormatting>
  <dataValidations>
    <dataValidation type="list" allowBlank="1" showErrorMessage="1" sqref="H4:I14 H21:I30 H36:I38 H44:I46 H52:I58 H64:I75 H81:I83">
      <formula1>Cuentas!$A$2:$A$29</formula1>
    </dataValidation>
  </dataValidation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2" t="s">
        <v>658</v>
      </c>
      <c r="B1" s="7"/>
    </row>
    <row r="2">
      <c r="A2" s="2" t="s">
        <v>659</v>
      </c>
      <c r="B2" s="7">
        <v>2093.93</v>
      </c>
    </row>
    <row r="3">
      <c r="A3" s="2" t="s">
        <v>660</v>
      </c>
      <c r="B3" s="7">
        <v>486.98</v>
      </c>
    </row>
    <row r="4">
      <c r="A4" s="2" t="s">
        <v>661</v>
      </c>
      <c r="B4" s="7">
        <v>2804.14</v>
      </c>
    </row>
    <row r="5">
      <c r="A5" s="2" t="s">
        <v>662</v>
      </c>
      <c r="B5" s="7">
        <v>4659.13</v>
      </c>
    </row>
    <row r="6">
      <c r="A6" s="2" t="s">
        <v>663</v>
      </c>
      <c r="B6" s="7">
        <v>2005.46</v>
      </c>
    </row>
    <row r="7">
      <c r="A7" s="2" t="s">
        <v>664</v>
      </c>
      <c r="B7" s="7">
        <v>6461.0</v>
      </c>
    </row>
    <row r="8">
      <c r="A8" s="2" t="s">
        <v>665</v>
      </c>
      <c r="B8" s="7">
        <v>1266.04</v>
      </c>
    </row>
    <row r="9">
      <c r="A9" s="120" t="s">
        <v>666</v>
      </c>
      <c r="B9" s="7">
        <v>778.95</v>
      </c>
    </row>
    <row r="10">
      <c r="B10" s="8"/>
    </row>
    <row r="11">
      <c r="B11" s="7"/>
    </row>
    <row r="12">
      <c r="B12" s="8">
        <f>SUM(B2:B11)</f>
        <v>20555.63</v>
      </c>
    </row>
    <row r="13">
      <c r="B13" s="8"/>
    </row>
    <row r="14">
      <c r="A14" s="2" t="s">
        <v>667</v>
      </c>
      <c r="B14" s="8"/>
    </row>
    <row r="15">
      <c r="A15" s="2" t="s">
        <v>668</v>
      </c>
      <c r="B15" s="7">
        <v>2692.35</v>
      </c>
    </row>
    <row r="16">
      <c r="A16" s="2" t="s">
        <v>669</v>
      </c>
      <c r="B16" s="7">
        <v>365.97</v>
      </c>
    </row>
    <row r="17">
      <c r="A17" s="2" t="s">
        <v>669</v>
      </c>
      <c r="B17" s="7">
        <v>600.27</v>
      </c>
    </row>
    <row r="18">
      <c r="A18" s="2" t="s">
        <v>670</v>
      </c>
      <c r="B18" s="7">
        <v>3560.57</v>
      </c>
    </row>
    <row r="19">
      <c r="A19" s="2" t="s">
        <v>671</v>
      </c>
      <c r="B19" s="7">
        <v>311.23</v>
      </c>
    </row>
    <row r="20">
      <c r="A20" s="2" t="s">
        <v>672</v>
      </c>
      <c r="B20" s="7">
        <v>392.97</v>
      </c>
    </row>
    <row r="21">
      <c r="A21" s="2" t="s">
        <v>673</v>
      </c>
      <c r="B21" s="7">
        <v>361.7</v>
      </c>
    </row>
    <row r="22">
      <c r="A22" s="2" t="s">
        <v>674</v>
      </c>
      <c r="B22" s="7">
        <v>369.27</v>
      </c>
    </row>
    <row r="23">
      <c r="A23" s="2" t="s">
        <v>675</v>
      </c>
      <c r="B23" s="7">
        <v>391.8</v>
      </c>
    </row>
    <row r="24">
      <c r="A24" s="2" t="s">
        <v>676</v>
      </c>
      <c r="B24" s="7">
        <v>59.66</v>
      </c>
    </row>
    <row r="25">
      <c r="A25" s="2" t="s">
        <v>676</v>
      </c>
      <c r="B25" s="7">
        <v>51.56</v>
      </c>
    </row>
    <row r="26">
      <c r="A26" s="2" t="s">
        <v>677</v>
      </c>
      <c r="B26" s="7">
        <v>296.89</v>
      </c>
    </row>
    <row r="27">
      <c r="A27" s="2" t="s">
        <v>678</v>
      </c>
      <c r="B27" s="7">
        <v>435.74</v>
      </c>
    </row>
    <row r="28">
      <c r="A28" s="2" t="s">
        <v>679</v>
      </c>
      <c r="B28" s="7">
        <v>123.39</v>
      </c>
    </row>
    <row r="29">
      <c r="A29" s="2" t="s">
        <v>680</v>
      </c>
      <c r="B29" s="7">
        <v>937.07</v>
      </c>
    </row>
    <row r="30">
      <c r="A30" s="2" t="s">
        <v>680</v>
      </c>
      <c r="B30" s="7">
        <v>318.98</v>
      </c>
    </row>
    <row r="31">
      <c r="A31" s="2" t="s">
        <v>681</v>
      </c>
      <c r="B31" s="7">
        <v>605.09</v>
      </c>
    </row>
    <row r="32">
      <c r="A32" s="2" t="s">
        <v>682</v>
      </c>
      <c r="B32" s="7">
        <v>572.95</v>
      </c>
    </row>
    <row r="33">
      <c r="A33" s="2" t="s">
        <v>683</v>
      </c>
      <c r="B33" s="7">
        <v>1840.78</v>
      </c>
    </row>
    <row r="34">
      <c r="A34" s="2" t="s">
        <v>683</v>
      </c>
      <c r="B34" s="7">
        <v>2248.98</v>
      </c>
    </row>
    <row r="35">
      <c r="A35" s="2" t="s">
        <v>684</v>
      </c>
      <c r="B35" s="7">
        <f>1092.03+257.98</f>
        <v>1350.01</v>
      </c>
    </row>
    <row r="36">
      <c r="A36" s="2" t="s">
        <v>685</v>
      </c>
      <c r="B36" s="7">
        <v>161.07</v>
      </c>
    </row>
    <row r="37">
      <c r="A37" s="2" t="s">
        <v>686</v>
      </c>
      <c r="B37" s="7">
        <v>454.17</v>
      </c>
    </row>
    <row r="38">
      <c r="A38" s="2" t="s">
        <v>687</v>
      </c>
      <c r="B38" s="7">
        <v>73.36</v>
      </c>
    </row>
    <row r="39">
      <c r="A39" s="2" t="s">
        <v>688</v>
      </c>
      <c r="B39" s="7">
        <v>255.77</v>
      </c>
    </row>
    <row r="40">
      <c r="A40" s="2" t="s">
        <v>689</v>
      </c>
      <c r="B40" s="7">
        <v>110.92</v>
      </c>
    </row>
    <row r="41">
      <c r="B41" s="8"/>
    </row>
    <row r="42">
      <c r="B42" s="8"/>
    </row>
    <row r="43">
      <c r="B43" s="8"/>
    </row>
    <row r="44">
      <c r="B44" s="8"/>
    </row>
    <row r="45">
      <c r="B45" s="8">
        <f>SUM(B14:B40)</f>
        <v>18942.52</v>
      </c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5" max="5" width="17.38"/>
    <col customWidth="1" min="6" max="6" width="20.63"/>
    <col customWidth="1" min="8" max="8" width="18.88"/>
    <col customWidth="1" min="16" max="16" width="14.25"/>
    <col customWidth="1" min="17" max="17" width="18.0"/>
  </cols>
  <sheetData>
    <row r="1">
      <c r="A1" s="18">
        <v>39.0</v>
      </c>
      <c r="C1" s="19"/>
      <c r="D1" s="19"/>
      <c r="E1" s="22"/>
      <c r="F1" s="22"/>
      <c r="J1" s="14" t="s">
        <v>644</v>
      </c>
      <c r="K1" s="14" t="s">
        <v>5</v>
      </c>
    </row>
    <row r="2">
      <c r="A2" s="24" t="s">
        <v>3</v>
      </c>
      <c r="B2" s="19" t="s">
        <v>4</v>
      </c>
      <c r="C2" s="19" t="s">
        <v>5</v>
      </c>
      <c r="D2" s="25" t="s">
        <v>6</v>
      </c>
      <c r="E2" s="29" t="s">
        <v>10</v>
      </c>
      <c r="F2" s="29" t="s">
        <v>29</v>
      </c>
      <c r="I2" s="2" t="s">
        <v>27</v>
      </c>
      <c r="J2" s="8">
        <f>B15+B30+B39+B47+B59+B75+B82</f>
        <v>139664.5</v>
      </c>
      <c r="K2" s="8">
        <f>C15+C30+C39+C47+C59+C82+C75</f>
        <v>69832.25</v>
      </c>
    </row>
    <row r="3">
      <c r="A3" s="2" t="s">
        <v>12</v>
      </c>
      <c r="B3" s="7">
        <v>15770.0</v>
      </c>
      <c r="C3" s="7">
        <f t="shared" ref="C3:C13" si="1">B3/2</f>
        <v>7885</v>
      </c>
      <c r="D3" s="2" t="b">
        <v>0</v>
      </c>
      <c r="E3" s="2" t="s">
        <v>13</v>
      </c>
      <c r="F3" s="2" t="s">
        <v>14</v>
      </c>
    </row>
    <row r="4">
      <c r="A4" s="2" t="s">
        <v>15</v>
      </c>
      <c r="B4" s="7">
        <v>7915.0</v>
      </c>
      <c r="C4" s="8">
        <f t="shared" si="1"/>
        <v>3957.5</v>
      </c>
      <c r="D4" s="2" t="b">
        <v>0</v>
      </c>
      <c r="E4" s="2" t="s">
        <v>18</v>
      </c>
      <c r="F4" s="2" t="s">
        <v>14</v>
      </c>
    </row>
    <row r="5">
      <c r="A5" s="2" t="s">
        <v>690</v>
      </c>
      <c r="B5" s="7">
        <f>1300+(1300*0.9)</f>
        <v>2470</v>
      </c>
      <c r="C5" s="7">
        <f t="shared" si="1"/>
        <v>1235</v>
      </c>
      <c r="D5" s="2" t="b">
        <v>0</v>
      </c>
      <c r="E5" s="2" t="s">
        <v>13</v>
      </c>
      <c r="F5" s="2" t="s">
        <v>31</v>
      </c>
    </row>
    <row r="6">
      <c r="A6" s="2" t="s">
        <v>654</v>
      </c>
      <c r="B6" s="7">
        <v>1100.0</v>
      </c>
      <c r="C6" s="7">
        <f t="shared" si="1"/>
        <v>550</v>
      </c>
      <c r="D6" s="2" t="b">
        <v>0</v>
      </c>
      <c r="E6" s="2" t="s">
        <v>13</v>
      </c>
      <c r="F6" s="2" t="s">
        <v>14</v>
      </c>
      <c r="G6" s="8">
        <f>B3+B6+B7+B10+B11</f>
        <v>20245</v>
      </c>
    </row>
    <row r="7">
      <c r="A7" s="2" t="s">
        <v>653</v>
      </c>
      <c r="B7" s="7">
        <v>1100.0</v>
      </c>
      <c r="C7" s="7">
        <f t="shared" si="1"/>
        <v>550</v>
      </c>
      <c r="D7" s="2" t="b">
        <v>0</v>
      </c>
      <c r="E7" s="2" t="s">
        <v>13</v>
      </c>
      <c r="F7" s="2" t="s">
        <v>14</v>
      </c>
    </row>
    <row r="8">
      <c r="A8" s="2" t="s">
        <v>648</v>
      </c>
      <c r="B8" s="7">
        <v>2200.0</v>
      </c>
      <c r="C8" s="7">
        <f t="shared" si="1"/>
        <v>1100</v>
      </c>
      <c r="D8" s="2" t="b">
        <v>0</v>
      </c>
      <c r="E8" s="2" t="s">
        <v>18</v>
      </c>
      <c r="F8" s="2" t="s">
        <v>14</v>
      </c>
    </row>
    <row r="9">
      <c r="A9" s="2" t="s">
        <v>652</v>
      </c>
      <c r="B9" s="7">
        <v>1200.0</v>
      </c>
      <c r="C9" s="8">
        <f t="shared" si="1"/>
        <v>600</v>
      </c>
      <c r="D9" s="2" t="b">
        <v>0</v>
      </c>
      <c r="E9" s="2" t="s">
        <v>87</v>
      </c>
      <c r="F9" s="2" t="s">
        <v>87</v>
      </c>
    </row>
    <row r="10">
      <c r="A10" s="2" t="s">
        <v>23</v>
      </c>
      <c r="B10" s="7">
        <v>1180.0</v>
      </c>
      <c r="C10" s="7">
        <f t="shared" si="1"/>
        <v>590</v>
      </c>
      <c r="D10" s="2" t="b">
        <v>0</v>
      </c>
      <c r="E10" s="2" t="s">
        <v>13</v>
      </c>
      <c r="F10" s="2" t="s">
        <v>14</v>
      </c>
      <c r="H10" s="2"/>
    </row>
    <row r="11">
      <c r="A11" s="2" t="s">
        <v>24</v>
      </c>
      <c r="B11" s="7">
        <v>1095.0</v>
      </c>
      <c r="C11" s="7">
        <f t="shared" si="1"/>
        <v>547.5</v>
      </c>
      <c r="D11" s="2" t="b">
        <v>0</v>
      </c>
      <c r="E11" s="2" t="s">
        <v>13</v>
      </c>
      <c r="F11" s="2" t="s">
        <v>14</v>
      </c>
      <c r="H11" s="2"/>
      <c r="I11" s="2"/>
      <c r="J11" s="2"/>
      <c r="K11" s="2"/>
    </row>
    <row r="12">
      <c r="A12" s="2" t="s">
        <v>20</v>
      </c>
      <c r="B12" s="7">
        <f>15000/12</f>
        <v>1250</v>
      </c>
      <c r="C12" s="8">
        <f t="shared" si="1"/>
        <v>625</v>
      </c>
      <c r="D12" s="2" t="b">
        <v>1</v>
      </c>
      <c r="E12" s="2" t="s">
        <v>18</v>
      </c>
      <c r="F12" s="2" t="s">
        <v>180</v>
      </c>
      <c r="H12" s="2"/>
      <c r="I12" s="2"/>
      <c r="J12" s="2"/>
      <c r="K12" s="2"/>
    </row>
    <row r="13">
      <c r="A13" s="2" t="s">
        <v>26</v>
      </c>
      <c r="B13" s="7">
        <v>750.0</v>
      </c>
      <c r="C13" s="8">
        <f t="shared" si="1"/>
        <v>375</v>
      </c>
      <c r="D13" s="2" t="b">
        <v>1</v>
      </c>
      <c r="E13" s="2" t="s">
        <v>18</v>
      </c>
      <c r="F13" s="2" t="s">
        <v>180</v>
      </c>
      <c r="H13" s="2"/>
      <c r="I13" s="2"/>
      <c r="J13" s="2"/>
      <c r="K13" s="2"/>
      <c r="M13" s="12">
        <v>45550.0</v>
      </c>
      <c r="N13" s="12">
        <v>45565.0</v>
      </c>
      <c r="O13" s="13">
        <v>45580.0</v>
      </c>
      <c r="P13" s="13">
        <v>45596.0</v>
      </c>
      <c r="Q13" s="13">
        <v>45611.0</v>
      </c>
      <c r="R13" s="13">
        <v>45626.0</v>
      </c>
      <c r="S13" s="2" t="s">
        <v>691</v>
      </c>
      <c r="T13" s="2" t="s">
        <v>692</v>
      </c>
    </row>
    <row r="14">
      <c r="A14" s="2"/>
      <c r="B14" s="7"/>
      <c r="C14" s="7"/>
      <c r="H14" s="2"/>
      <c r="I14" s="2" t="s">
        <v>91</v>
      </c>
      <c r="J14" s="2" t="s">
        <v>92</v>
      </c>
      <c r="K14" s="2" t="s">
        <v>93</v>
      </c>
    </row>
    <row r="15">
      <c r="A15" s="2" t="s">
        <v>27</v>
      </c>
      <c r="B15" s="7">
        <f t="shared" ref="B15:C15" si="2">SUM(B2:B14)</f>
        <v>36030</v>
      </c>
      <c r="C15" s="7">
        <f t="shared" si="2"/>
        <v>18015</v>
      </c>
      <c r="H15" s="2" t="s">
        <v>183</v>
      </c>
      <c r="I15" s="8">
        <f t="shared" ref="I15:I25" si="3">CEILING(SUMIF($F$2:$F$86, H15, $B$2:$B$86),100)</f>
        <v>8000</v>
      </c>
      <c r="J15" s="8">
        <f t="shared" ref="J15:J25" si="4">CEILING(SUMIF($F$2:$F$86, H15, $C$2:$C$86),100)</f>
        <v>4000</v>
      </c>
      <c r="K15" s="2" t="s">
        <v>693</v>
      </c>
      <c r="M15" s="2" t="b">
        <v>1</v>
      </c>
      <c r="N15" s="2" t="b">
        <v>1</v>
      </c>
      <c r="O15" s="2" t="b">
        <v>1</v>
      </c>
      <c r="P15" s="2" t="b">
        <v>1</v>
      </c>
      <c r="Q15" s="2" t="b">
        <v>1</v>
      </c>
      <c r="R15" s="2" t="b">
        <v>1</v>
      </c>
      <c r="S15" s="2" t="b">
        <v>1</v>
      </c>
      <c r="T15" s="2" t="b">
        <v>1</v>
      </c>
    </row>
    <row r="16">
      <c r="A16" s="2"/>
      <c r="B16" s="7"/>
      <c r="C16" s="7"/>
      <c r="H16" s="2" t="s">
        <v>50</v>
      </c>
      <c r="I16" s="8">
        <f t="shared" si="3"/>
        <v>600</v>
      </c>
      <c r="J16" s="8">
        <f t="shared" si="4"/>
        <v>300</v>
      </c>
      <c r="K16" s="2" t="s">
        <v>694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0</v>
      </c>
    </row>
    <row r="17">
      <c r="A17" s="18" t="s">
        <v>28</v>
      </c>
      <c r="C17" s="19"/>
      <c r="F17" s="22"/>
      <c r="H17" s="2" t="s">
        <v>52</v>
      </c>
      <c r="I17" s="8">
        <f t="shared" si="3"/>
        <v>600</v>
      </c>
      <c r="J17" s="8">
        <f t="shared" si="4"/>
        <v>300</v>
      </c>
      <c r="K17" s="2" t="s">
        <v>694</v>
      </c>
      <c r="M17" s="2" t="b">
        <v>1</v>
      </c>
      <c r="N17" s="2" t="b">
        <v>1</v>
      </c>
      <c r="O17" s="2" t="b">
        <v>1</v>
      </c>
      <c r="P17" s="2" t="b">
        <v>1</v>
      </c>
      <c r="Q17" s="2" t="b">
        <v>1</v>
      </c>
      <c r="R17" s="2" t="b">
        <v>1</v>
      </c>
      <c r="S17" s="2" t="b">
        <v>1</v>
      </c>
      <c r="T17" s="2" t="b">
        <v>0</v>
      </c>
    </row>
    <row r="18">
      <c r="A18" s="24" t="s">
        <v>3</v>
      </c>
      <c r="B18" s="19" t="s">
        <v>4</v>
      </c>
      <c r="C18" s="19" t="s">
        <v>5</v>
      </c>
      <c r="F18" s="29"/>
      <c r="H18" s="2" t="s">
        <v>18</v>
      </c>
      <c r="I18" s="8">
        <f t="shared" si="3"/>
        <v>10800</v>
      </c>
      <c r="J18" s="8">
        <f t="shared" si="4"/>
        <v>5400</v>
      </c>
      <c r="K18" s="2" t="s">
        <v>694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</row>
    <row r="19">
      <c r="A19" s="2" t="s">
        <v>30</v>
      </c>
      <c r="B19" s="7">
        <v>3600.0</v>
      </c>
      <c r="C19" s="8">
        <f t="shared" ref="C19:C28" si="5">B19/2</f>
        <v>1800</v>
      </c>
      <c r="D19" s="2" t="b">
        <v>0</v>
      </c>
      <c r="E19" s="2" t="s">
        <v>13</v>
      </c>
      <c r="F19" s="2" t="s">
        <v>31</v>
      </c>
      <c r="H19" s="2" t="s">
        <v>66</v>
      </c>
      <c r="I19" s="8">
        <f t="shared" si="3"/>
        <v>37500</v>
      </c>
      <c r="J19" s="8">
        <f t="shared" si="4"/>
        <v>18800</v>
      </c>
      <c r="K19" s="2" t="s">
        <v>694</v>
      </c>
      <c r="M19" s="2" t="b">
        <v>1</v>
      </c>
      <c r="N19" s="2" t="b">
        <v>1</v>
      </c>
      <c r="O19" s="2" t="b">
        <v>1</v>
      </c>
      <c r="P19" s="2" t="b">
        <v>1</v>
      </c>
      <c r="Q19" s="2" t="b">
        <v>0</v>
      </c>
      <c r="R19" s="2" t="b">
        <v>1</v>
      </c>
      <c r="S19" s="2" t="b">
        <v>1</v>
      </c>
      <c r="T19" s="2" t="b">
        <v>1</v>
      </c>
    </row>
    <row r="20">
      <c r="A20" s="42" t="s">
        <v>32</v>
      </c>
      <c r="B20" s="40">
        <f>CEILING(299,10)</f>
        <v>300</v>
      </c>
      <c r="C20" s="40">
        <f t="shared" si="5"/>
        <v>150</v>
      </c>
      <c r="D20" s="2" t="b">
        <v>0</v>
      </c>
      <c r="E20" s="2" t="s">
        <v>13</v>
      </c>
      <c r="F20" s="52" t="s">
        <v>31</v>
      </c>
      <c r="H20" s="2" t="s">
        <v>56</v>
      </c>
      <c r="I20" s="8">
        <f t="shared" si="3"/>
        <v>16300</v>
      </c>
      <c r="J20" s="8">
        <f t="shared" si="4"/>
        <v>8200</v>
      </c>
      <c r="K20" s="2" t="s">
        <v>694</v>
      </c>
      <c r="M20" s="2" t="b">
        <v>1</v>
      </c>
      <c r="N20" s="2" t="b">
        <v>1</v>
      </c>
      <c r="O20" s="2" t="b">
        <v>1</v>
      </c>
      <c r="P20" s="2" t="b">
        <v>1</v>
      </c>
      <c r="Q20" s="2" t="b">
        <v>1</v>
      </c>
      <c r="R20" s="2" t="b">
        <v>1</v>
      </c>
      <c r="S20" s="2" t="b">
        <v>1</v>
      </c>
      <c r="T20" s="2" t="b">
        <v>1</v>
      </c>
    </row>
    <row r="21">
      <c r="A21" s="42" t="s">
        <v>35</v>
      </c>
      <c r="B21" s="105">
        <v>299.0</v>
      </c>
      <c r="C21" s="40">
        <f t="shared" si="5"/>
        <v>149.5</v>
      </c>
      <c r="D21" s="2" t="b">
        <v>0</v>
      </c>
      <c r="E21" s="2" t="s">
        <v>13</v>
      </c>
      <c r="F21" s="52" t="s">
        <v>31</v>
      </c>
      <c r="H21" s="2" t="s">
        <v>31</v>
      </c>
      <c r="I21" s="8">
        <f t="shared" si="3"/>
        <v>27600</v>
      </c>
      <c r="J21" s="8">
        <f t="shared" si="4"/>
        <v>13800</v>
      </c>
      <c r="K21" s="2" t="s">
        <v>694</v>
      </c>
      <c r="M21" s="2" t="b">
        <v>1</v>
      </c>
      <c r="N21" s="2" t="b">
        <v>1</v>
      </c>
      <c r="O21" s="2" t="b">
        <v>0</v>
      </c>
      <c r="P21" s="2" t="b">
        <v>1</v>
      </c>
      <c r="Q21" s="2" t="b">
        <v>1</v>
      </c>
      <c r="R21" s="2" t="b">
        <v>1</v>
      </c>
      <c r="S21" s="2" t="b">
        <v>1</v>
      </c>
      <c r="T21" s="2" t="b">
        <v>0</v>
      </c>
    </row>
    <row r="22">
      <c r="A22" s="42" t="s">
        <v>34</v>
      </c>
      <c r="B22" s="40">
        <f>CEILING(3000/12, 10)</f>
        <v>250</v>
      </c>
      <c r="C22" s="40">
        <f t="shared" si="5"/>
        <v>125</v>
      </c>
      <c r="D22" s="2" t="b">
        <v>1</v>
      </c>
      <c r="E22" s="2" t="s">
        <v>695</v>
      </c>
      <c r="F22" s="52" t="s">
        <v>180</v>
      </c>
      <c r="H22" s="2" t="s">
        <v>87</v>
      </c>
      <c r="I22" s="8">
        <f t="shared" si="3"/>
        <v>3900</v>
      </c>
      <c r="J22" s="8">
        <f t="shared" si="4"/>
        <v>2000</v>
      </c>
      <c r="K22" s="2" t="s">
        <v>694</v>
      </c>
      <c r="M22" s="2" t="b">
        <v>1</v>
      </c>
      <c r="N22" s="2" t="b">
        <v>1</v>
      </c>
      <c r="O22" s="2" t="b">
        <v>1</v>
      </c>
      <c r="P22" s="2" t="b">
        <v>1</v>
      </c>
      <c r="Q22" s="2" t="b">
        <v>1</v>
      </c>
      <c r="R22" s="2" t="b">
        <v>1</v>
      </c>
      <c r="S22" s="2" t="b">
        <v>1</v>
      </c>
      <c r="T22" s="2" t="b">
        <v>1</v>
      </c>
    </row>
    <row r="23">
      <c r="A23" s="52" t="s">
        <v>37</v>
      </c>
      <c r="B23" s="121">
        <v>200.0</v>
      </c>
      <c r="C23" s="40">
        <f t="shared" si="5"/>
        <v>100</v>
      </c>
      <c r="D23" s="2" t="b">
        <v>1</v>
      </c>
      <c r="E23" s="2" t="s">
        <v>695</v>
      </c>
      <c r="F23" s="52" t="s">
        <v>180</v>
      </c>
      <c r="H23" s="2" t="s">
        <v>166</v>
      </c>
      <c r="I23" s="8">
        <f t="shared" si="3"/>
        <v>0</v>
      </c>
      <c r="J23" s="8">
        <f t="shared" si="4"/>
        <v>0</v>
      </c>
      <c r="K23" s="2" t="s">
        <v>694</v>
      </c>
      <c r="M23" s="2" t="b">
        <v>1</v>
      </c>
      <c r="N23" s="2" t="b">
        <v>1</v>
      </c>
      <c r="O23" s="2" t="b">
        <v>1</v>
      </c>
      <c r="P23" s="2" t="b">
        <v>1</v>
      </c>
      <c r="Q23" s="2" t="b">
        <v>1</v>
      </c>
      <c r="R23" s="2" t="b">
        <v>1</v>
      </c>
      <c r="S23" s="2" t="b">
        <v>1</v>
      </c>
      <c r="T23" s="2" t="b">
        <v>1</v>
      </c>
    </row>
    <row r="24">
      <c r="A24" s="42" t="s">
        <v>696</v>
      </c>
      <c r="B24" s="40">
        <f>CEILING(199,10)</f>
        <v>200</v>
      </c>
      <c r="C24" s="40">
        <f t="shared" si="5"/>
        <v>100</v>
      </c>
      <c r="D24" s="2" t="b">
        <v>0</v>
      </c>
      <c r="E24" s="2" t="s">
        <v>13</v>
      </c>
      <c r="F24" s="52" t="s">
        <v>31</v>
      </c>
      <c r="H24" s="2" t="s">
        <v>180</v>
      </c>
      <c r="I24" s="8">
        <f t="shared" si="3"/>
        <v>4100</v>
      </c>
      <c r="J24" s="8">
        <f t="shared" si="4"/>
        <v>2100</v>
      </c>
      <c r="K24" s="2" t="s">
        <v>694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1</v>
      </c>
      <c r="R24" s="2" t="b">
        <v>1</v>
      </c>
      <c r="S24" s="2" t="b">
        <v>1</v>
      </c>
      <c r="T24" s="2" t="b">
        <v>1</v>
      </c>
    </row>
    <row r="25" ht="14.25" customHeight="1">
      <c r="A25" s="42" t="s">
        <v>38</v>
      </c>
      <c r="B25" s="40">
        <f>IFERROR(__xludf.DUMMYFUNCTION("CEILING(GOOGLEFINANCE(""CURRENCY:USDMXN"")*6, 10)"),110.0)</f>
        <v>110</v>
      </c>
      <c r="C25" s="40">
        <f t="shared" si="5"/>
        <v>55</v>
      </c>
      <c r="D25" s="2" t="b">
        <v>0</v>
      </c>
      <c r="E25" s="2" t="s">
        <v>13</v>
      </c>
      <c r="F25" s="52" t="s">
        <v>31</v>
      </c>
      <c r="H25" s="2" t="s">
        <v>14</v>
      </c>
      <c r="I25" s="8">
        <f t="shared" si="3"/>
        <v>30400</v>
      </c>
      <c r="J25" s="8">
        <f t="shared" si="4"/>
        <v>15200</v>
      </c>
      <c r="M25" s="2" t="b">
        <v>1</v>
      </c>
      <c r="N25" s="2" t="b">
        <v>1</v>
      </c>
      <c r="O25" s="2" t="b">
        <v>1</v>
      </c>
      <c r="P25" s="2" t="b">
        <v>1</v>
      </c>
      <c r="Q25" s="2" t="b">
        <v>1</v>
      </c>
      <c r="R25" s="2" t="b">
        <v>1</v>
      </c>
      <c r="S25" s="2" t="b">
        <v>1</v>
      </c>
      <c r="T25" s="2" t="b">
        <v>1</v>
      </c>
    </row>
    <row r="26" ht="14.25" customHeight="1">
      <c r="A26" s="42" t="s">
        <v>39</v>
      </c>
      <c r="B26" s="40">
        <f>CEILING(899/12, 10)</f>
        <v>80</v>
      </c>
      <c r="C26" s="40">
        <f t="shared" si="5"/>
        <v>40</v>
      </c>
      <c r="D26" s="2" t="b">
        <v>1</v>
      </c>
      <c r="E26" s="2" t="s">
        <v>695</v>
      </c>
      <c r="F26" s="52" t="s">
        <v>180</v>
      </c>
    </row>
    <row r="27" ht="14.25" customHeight="1">
      <c r="A27" s="42" t="s">
        <v>40</v>
      </c>
      <c r="B27" s="40">
        <v>70.0</v>
      </c>
      <c r="C27" s="40">
        <f t="shared" si="5"/>
        <v>35</v>
      </c>
      <c r="D27" s="2" t="b">
        <v>1</v>
      </c>
      <c r="E27" s="2" t="s">
        <v>695</v>
      </c>
      <c r="F27" s="52" t="s">
        <v>180</v>
      </c>
      <c r="I27" s="8">
        <f t="shared" ref="I27:J27" si="6">SUM(I15:I25)</f>
        <v>139800</v>
      </c>
      <c r="J27" s="8">
        <f t="shared" si="6"/>
        <v>70100</v>
      </c>
    </row>
    <row r="28">
      <c r="A28" s="42" t="s">
        <v>41</v>
      </c>
      <c r="B28" s="105">
        <v>0.0</v>
      </c>
      <c r="C28" s="40">
        <f t="shared" si="5"/>
        <v>0</v>
      </c>
      <c r="D28" s="2" t="b">
        <v>0</v>
      </c>
      <c r="E28" s="2" t="s">
        <v>13</v>
      </c>
      <c r="F28" s="52" t="s">
        <v>31</v>
      </c>
    </row>
    <row r="29" ht="14.25" customHeight="1">
      <c r="A29" s="2"/>
      <c r="B29" s="7"/>
      <c r="C29" s="7"/>
      <c r="F29" s="42"/>
    </row>
    <row r="30" ht="14.25" customHeight="1">
      <c r="A30" s="2" t="s">
        <v>27</v>
      </c>
      <c r="B30" s="7">
        <f t="shared" ref="B30:C30" si="7">SUM(B19:B28)</f>
        <v>5109</v>
      </c>
      <c r="C30" s="7">
        <f t="shared" si="7"/>
        <v>2554.5</v>
      </c>
      <c r="F30" s="42"/>
    </row>
    <row r="31" ht="14.25" customHeight="1"/>
    <row r="32">
      <c r="A32" s="39"/>
      <c r="B32" s="40"/>
      <c r="C32" s="40"/>
      <c r="F32" s="42"/>
    </row>
    <row r="33">
      <c r="A33" s="1" t="s">
        <v>42</v>
      </c>
      <c r="C33" s="43"/>
      <c r="F33" s="29"/>
      <c r="L33" s="8">
        <f>J25+J15</f>
        <v>19200</v>
      </c>
    </row>
    <row r="34">
      <c r="A34" s="24" t="s">
        <v>3</v>
      </c>
      <c r="B34" s="43" t="s">
        <v>4</v>
      </c>
      <c r="C34" s="43" t="s">
        <v>5</v>
      </c>
      <c r="F34" s="29"/>
    </row>
    <row r="35">
      <c r="A35" s="2" t="s">
        <v>43</v>
      </c>
      <c r="B35" s="7">
        <v>1200.0</v>
      </c>
      <c r="C35" s="7">
        <f t="shared" ref="C35:C37" si="8">B35/2</f>
        <v>600</v>
      </c>
      <c r="D35" s="2" t="b">
        <v>0</v>
      </c>
      <c r="E35" s="2" t="s">
        <v>13</v>
      </c>
      <c r="F35" s="2" t="s">
        <v>31</v>
      </c>
    </row>
    <row r="36">
      <c r="A36" s="2" t="s">
        <v>46</v>
      </c>
      <c r="B36" s="7">
        <v>500.0</v>
      </c>
      <c r="C36" s="7">
        <f t="shared" si="8"/>
        <v>250</v>
      </c>
      <c r="D36" s="2" t="b">
        <v>0</v>
      </c>
      <c r="E36" s="2" t="s">
        <v>13</v>
      </c>
      <c r="F36" s="2" t="s">
        <v>31</v>
      </c>
    </row>
    <row r="37">
      <c r="A37" s="2" t="s">
        <v>47</v>
      </c>
      <c r="B37" s="7">
        <v>450.0</v>
      </c>
      <c r="C37" s="7">
        <f t="shared" si="8"/>
        <v>225</v>
      </c>
      <c r="D37" s="2" t="b">
        <v>0</v>
      </c>
      <c r="E37" s="2" t="s">
        <v>13</v>
      </c>
      <c r="F37" s="2" t="s">
        <v>31</v>
      </c>
    </row>
    <row r="39">
      <c r="A39" s="2" t="s">
        <v>27</v>
      </c>
      <c r="B39" s="8">
        <f t="shared" ref="B39:C39" si="9">SUM(B35:B38)</f>
        <v>2150</v>
      </c>
      <c r="C39" s="8">
        <f t="shared" si="9"/>
        <v>1075</v>
      </c>
    </row>
    <row r="40">
      <c r="L40" s="2" t="s">
        <v>697</v>
      </c>
    </row>
    <row r="41">
      <c r="A41" s="1" t="s">
        <v>48</v>
      </c>
      <c r="C41" s="49"/>
      <c r="F41" s="50"/>
    </row>
    <row r="42">
      <c r="A42" s="24" t="s">
        <v>3</v>
      </c>
      <c r="B42" s="43" t="s">
        <v>4</v>
      </c>
      <c r="C42" s="43" t="s">
        <v>5</v>
      </c>
      <c r="F42" s="29"/>
      <c r="J42" s="51"/>
    </row>
    <row r="43">
      <c r="A43" s="2" t="s">
        <v>53</v>
      </c>
      <c r="B43" s="7">
        <v>8000.0</v>
      </c>
      <c r="C43" s="8">
        <f>B43/2</f>
        <v>4000</v>
      </c>
      <c r="D43" s="2" t="b">
        <v>0</v>
      </c>
      <c r="E43" s="2" t="s">
        <v>18</v>
      </c>
      <c r="F43" s="2" t="s">
        <v>183</v>
      </c>
    </row>
    <row r="44">
      <c r="A44" s="2" t="s">
        <v>49</v>
      </c>
      <c r="B44" s="7">
        <v>600.0</v>
      </c>
      <c r="C44" s="7">
        <f t="shared" ref="C44:C45" si="10">B44/2</f>
        <v>300</v>
      </c>
      <c r="D44" s="2" t="b">
        <v>0</v>
      </c>
      <c r="E44" s="2" t="s">
        <v>18</v>
      </c>
      <c r="F44" s="2" t="s">
        <v>50</v>
      </c>
      <c r="H44" s="2" t="s">
        <v>13</v>
      </c>
      <c r="I44" s="8">
        <f t="shared" ref="I44:I47" si="11">CEILING(SUMIF($E$2:$E$86, H44, $B$2:$B$86),100)</f>
        <v>45800</v>
      </c>
      <c r="J44" s="8">
        <f t="shared" ref="J44:J47" si="12">CEILING(SUMIF($E$2:$E$86, H44, $C$2:$C$86),100)</f>
        <v>22900</v>
      </c>
    </row>
    <row r="45">
      <c r="A45" s="2" t="s">
        <v>51</v>
      </c>
      <c r="B45" s="7">
        <v>600.0</v>
      </c>
      <c r="C45" s="7">
        <f t="shared" si="10"/>
        <v>300</v>
      </c>
      <c r="D45" s="2" t="b">
        <v>0</v>
      </c>
      <c r="E45" s="2" t="s">
        <v>18</v>
      </c>
      <c r="F45" s="2" t="s">
        <v>52</v>
      </c>
      <c r="H45" s="2" t="s">
        <v>695</v>
      </c>
      <c r="I45" s="8">
        <f t="shared" si="11"/>
        <v>4900</v>
      </c>
      <c r="J45" s="8">
        <f t="shared" si="12"/>
        <v>2500</v>
      </c>
    </row>
    <row r="46">
      <c r="A46" s="2"/>
      <c r="H46" s="2" t="s">
        <v>18</v>
      </c>
      <c r="I46" s="8">
        <f t="shared" si="11"/>
        <v>85100</v>
      </c>
      <c r="J46" s="8">
        <f t="shared" si="12"/>
        <v>42600</v>
      </c>
    </row>
    <row r="47">
      <c r="A47" s="2" t="s">
        <v>27</v>
      </c>
      <c r="B47" s="8">
        <f t="shared" ref="B47:C47" si="13">SUM(B43:B45)</f>
        <v>9200</v>
      </c>
      <c r="C47" s="8">
        <f t="shared" si="13"/>
        <v>4600</v>
      </c>
      <c r="H47" s="2" t="s">
        <v>87</v>
      </c>
      <c r="I47" s="8">
        <f t="shared" si="11"/>
        <v>1200</v>
      </c>
      <c r="J47" s="8">
        <f t="shared" si="12"/>
        <v>600</v>
      </c>
    </row>
    <row r="48">
      <c r="A48" s="2"/>
      <c r="N48" s="2" t="s">
        <v>97</v>
      </c>
    </row>
    <row r="49">
      <c r="A49" s="1" t="s">
        <v>54</v>
      </c>
      <c r="I49" s="8">
        <f t="shared" ref="I49:J49" si="14">SUM(I44:I47)</f>
        <v>137000</v>
      </c>
      <c r="J49" s="8">
        <f t="shared" si="14"/>
        <v>68600</v>
      </c>
      <c r="N49" s="2" t="s">
        <v>98</v>
      </c>
      <c r="O49" s="2" t="s">
        <v>99</v>
      </c>
      <c r="P49" s="2" t="s">
        <v>100</v>
      </c>
      <c r="Q49" s="2" t="s">
        <v>698</v>
      </c>
      <c r="R49" s="2" t="s">
        <v>102</v>
      </c>
      <c r="S49" s="2" t="s">
        <v>103</v>
      </c>
      <c r="T49" s="2" t="s">
        <v>104</v>
      </c>
    </row>
    <row r="50">
      <c r="A50" s="24" t="s">
        <v>3</v>
      </c>
      <c r="B50" s="43" t="s">
        <v>4</v>
      </c>
      <c r="C50" s="43" t="s">
        <v>5</v>
      </c>
      <c r="F50" s="29"/>
      <c r="N50" s="2" t="s">
        <v>699</v>
      </c>
      <c r="O50" s="7">
        <v>18153.17</v>
      </c>
      <c r="P50" s="2">
        <v>12.0</v>
      </c>
      <c r="Q50" s="2">
        <v>8.0</v>
      </c>
      <c r="R50" s="8">
        <f t="shared" ref="R50:R63" si="15">O50/P50</f>
        <v>1512.764167</v>
      </c>
      <c r="S50" s="8">
        <f t="shared" ref="S50:S63" si="16">O50-(Q50*R50)</f>
        <v>6051.056667</v>
      </c>
      <c r="T50" s="2" t="s">
        <v>700</v>
      </c>
    </row>
    <row r="51">
      <c r="A51" s="2" t="s">
        <v>55</v>
      </c>
      <c r="B51" s="7">
        <v>12000.0</v>
      </c>
      <c r="C51" s="7">
        <f t="shared" ref="C51:C55" si="17">B51/2</f>
        <v>6000</v>
      </c>
      <c r="D51" s="2" t="b">
        <v>0</v>
      </c>
      <c r="E51" s="2" t="s">
        <v>18</v>
      </c>
      <c r="F51" s="2" t="s">
        <v>56</v>
      </c>
      <c r="N51" s="2" t="s">
        <v>701</v>
      </c>
      <c r="O51" s="7">
        <v>5677.0</v>
      </c>
      <c r="P51" s="2">
        <v>3.0</v>
      </c>
      <c r="Q51" s="2">
        <v>3.0</v>
      </c>
      <c r="R51" s="8">
        <f t="shared" si="15"/>
        <v>1892.333333</v>
      </c>
      <c r="S51" s="8">
        <f t="shared" si="16"/>
        <v>0</v>
      </c>
      <c r="T51" s="2" t="s">
        <v>700</v>
      </c>
    </row>
    <row r="52">
      <c r="A52" s="2" t="s">
        <v>57</v>
      </c>
      <c r="B52" s="7">
        <v>3000.0</v>
      </c>
      <c r="C52" s="8">
        <f t="shared" si="17"/>
        <v>1500</v>
      </c>
      <c r="D52" s="2" t="b">
        <v>0</v>
      </c>
      <c r="E52" s="2" t="s">
        <v>695</v>
      </c>
      <c r="F52" s="2" t="s">
        <v>56</v>
      </c>
      <c r="N52" s="2" t="s">
        <v>702</v>
      </c>
      <c r="O52" s="7">
        <v>3600.0</v>
      </c>
      <c r="P52" s="2">
        <v>3.0</v>
      </c>
      <c r="Q52" s="2">
        <v>3.0</v>
      </c>
      <c r="R52" s="8">
        <f t="shared" si="15"/>
        <v>1200</v>
      </c>
      <c r="S52" s="8">
        <f t="shared" si="16"/>
        <v>0</v>
      </c>
      <c r="T52" s="2" t="s">
        <v>700</v>
      </c>
    </row>
    <row r="53">
      <c r="A53" s="2" t="s">
        <v>58</v>
      </c>
      <c r="B53" s="7">
        <v>1000.0</v>
      </c>
      <c r="C53" s="8">
        <f t="shared" si="17"/>
        <v>500</v>
      </c>
      <c r="D53" s="2" t="b">
        <v>1</v>
      </c>
      <c r="E53" s="2" t="s">
        <v>695</v>
      </c>
      <c r="F53" s="2" t="s">
        <v>180</v>
      </c>
      <c r="N53" s="2" t="s">
        <v>703</v>
      </c>
      <c r="O53" s="7">
        <v>6693.0</v>
      </c>
      <c r="P53" s="2">
        <v>3.0</v>
      </c>
      <c r="Q53" s="2">
        <v>3.0</v>
      </c>
      <c r="R53" s="8">
        <f t="shared" si="15"/>
        <v>2231</v>
      </c>
      <c r="S53" s="8">
        <f t="shared" si="16"/>
        <v>0</v>
      </c>
      <c r="T53" s="2" t="s">
        <v>700</v>
      </c>
    </row>
    <row r="54">
      <c r="A54" s="2" t="s">
        <v>59</v>
      </c>
      <c r="B54" s="7">
        <v>750.0</v>
      </c>
      <c r="C54" s="7">
        <f t="shared" si="17"/>
        <v>375</v>
      </c>
      <c r="D54" s="2" t="b">
        <v>0</v>
      </c>
      <c r="E54" s="2" t="s">
        <v>18</v>
      </c>
      <c r="F54" s="2" t="s">
        <v>56</v>
      </c>
      <c r="N54" s="2" t="s">
        <v>704</v>
      </c>
      <c r="O54" s="7">
        <v>4755.0</v>
      </c>
      <c r="P54" s="2">
        <v>3.0</v>
      </c>
      <c r="Q54" s="2">
        <v>3.0</v>
      </c>
      <c r="R54" s="8">
        <f t="shared" si="15"/>
        <v>1585</v>
      </c>
      <c r="S54" s="8">
        <f t="shared" si="16"/>
        <v>0</v>
      </c>
      <c r="T54" s="2" t="s">
        <v>700</v>
      </c>
    </row>
    <row r="55">
      <c r="A55" s="2" t="s">
        <v>60</v>
      </c>
      <c r="B55" s="7">
        <v>400.0</v>
      </c>
      <c r="C55" s="8">
        <f t="shared" si="17"/>
        <v>200</v>
      </c>
      <c r="D55" s="2" t="b">
        <v>0</v>
      </c>
      <c r="E55" s="2" t="s">
        <v>18</v>
      </c>
      <c r="F55" s="2" t="s">
        <v>56</v>
      </c>
      <c r="N55" s="2" t="s">
        <v>240</v>
      </c>
      <c r="O55" s="7">
        <v>53089.0</v>
      </c>
      <c r="P55" s="2">
        <v>12.0</v>
      </c>
      <c r="Q55" s="122">
        <v>6.0</v>
      </c>
      <c r="R55" s="8">
        <f t="shared" si="15"/>
        <v>4424.083333</v>
      </c>
      <c r="S55" s="8">
        <f t="shared" si="16"/>
        <v>26544.5</v>
      </c>
      <c r="T55" s="2" t="s">
        <v>705</v>
      </c>
    </row>
    <row r="56">
      <c r="A56" s="2" t="s">
        <v>62</v>
      </c>
      <c r="B56" s="7">
        <v>300.0</v>
      </c>
      <c r="C56" s="7">
        <f>B56/2</f>
        <v>150</v>
      </c>
      <c r="D56" s="2" t="b">
        <v>1</v>
      </c>
      <c r="E56" s="2" t="s">
        <v>695</v>
      </c>
      <c r="F56" s="2" t="s">
        <v>180</v>
      </c>
      <c r="N56" s="2" t="s">
        <v>706</v>
      </c>
      <c r="O56" s="7">
        <v>15865.0</v>
      </c>
      <c r="P56" s="2">
        <v>12.0</v>
      </c>
      <c r="Q56" s="2">
        <v>3.0</v>
      </c>
      <c r="R56" s="8">
        <f t="shared" si="15"/>
        <v>1322.083333</v>
      </c>
      <c r="S56" s="8">
        <f t="shared" si="16"/>
        <v>11898.75</v>
      </c>
      <c r="T56" s="2" t="s">
        <v>707</v>
      </c>
    </row>
    <row r="57">
      <c r="A57" s="2" t="s">
        <v>63</v>
      </c>
      <c r="B57" s="8">
        <f>CEILING((750*2)/12, 10)</f>
        <v>130</v>
      </c>
      <c r="C57" s="8">
        <f>B57/2</f>
        <v>65</v>
      </c>
      <c r="D57" s="2" t="b">
        <v>0</v>
      </c>
      <c r="E57" s="2" t="s">
        <v>18</v>
      </c>
      <c r="F57" s="2" t="s">
        <v>56</v>
      </c>
      <c r="N57" s="2" t="s">
        <v>148</v>
      </c>
      <c r="O57" s="7">
        <v>5287.0</v>
      </c>
      <c r="P57" s="2">
        <v>3.0</v>
      </c>
      <c r="Q57" s="2">
        <v>2.0</v>
      </c>
      <c r="R57" s="8">
        <f t="shared" si="15"/>
        <v>1762.333333</v>
      </c>
      <c r="S57" s="8">
        <f t="shared" si="16"/>
        <v>1762.333333</v>
      </c>
      <c r="T57" s="2" t="s">
        <v>700</v>
      </c>
    </row>
    <row r="58">
      <c r="N58" s="2" t="s">
        <v>246</v>
      </c>
      <c r="O58" s="7">
        <v>3640.0</v>
      </c>
      <c r="P58" s="2">
        <v>3.0</v>
      </c>
      <c r="Q58" s="2">
        <v>3.0</v>
      </c>
      <c r="R58" s="8">
        <f t="shared" si="15"/>
        <v>1213.333333</v>
      </c>
      <c r="S58" s="8">
        <f t="shared" si="16"/>
        <v>0</v>
      </c>
      <c r="T58" s="2" t="s">
        <v>700</v>
      </c>
    </row>
    <row r="59">
      <c r="A59" s="2" t="s">
        <v>27</v>
      </c>
      <c r="B59" s="8">
        <f t="shared" ref="B59:C59" si="18">SUM(B51:B58)</f>
        <v>17580</v>
      </c>
      <c r="C59" s="8">
        <f t="shared" si="18"/>
        <v>8790</v>
      </c>
      <c r="N59" s="2" t="s">
        <v>708</v>
      </c>
      <c r="O59" s="7">
        <v>3683.0</v>
      </c>
      <c r="P59" s="2">
        <v>5.0</v>
      </c>
      <c r="Q59" s="2">
        <v>3.0</v>
      </c>
      <c r="R59" s="8">
        <f t="shared" si="15"/>
        <v>736.6</v>
      </c>
      <c r="S59" s="8">
        <f t="shared" si="16"/>
        <v>1473.2</v>
      </c>
      <c r="T59" s="2" t="s">
        <v>700</v>
      </c>
    </row>
    <row r="60">
      <c r="N60" s="2" t="s">
        <v>709</v>
      </c>
      <c r="O60" s="7">
        <v>4060.0</v>
      </c>
      <c r="P60" s="2">
        <v>3.0</v>
      </c>
      <c r="Q60" s="2">
        <v>3.0</v>
      </c>
      <c r="R60" s="8">
        <f t="shared" si="15"/>
        <v>1353.333333</v>
      </c>
      <c r="S60" s="8">
        <f t="shared" si="16"/>
        <v>0</v>
      </c>
      <c r="T60" s="2" t="s">
        <v>700</v>
      </c>
    </row>
    <row r="61">
      <c r="A61" s="1" t="s">
        <v>64</v>
      </c>
      <c r="N61" s="2" t="s">
        <v>710</v>
      </c>
      <c r="O61" s="7">
        <v>3572.0</v>
      </c>
      <c r="P61" s="2">
        <v>3.0</v>
      </c>
      <c r="Q61" s="2">
        <v>2.0</v>
      </c>
      <c r="R61" s="8">
        <f t="shared" si="15"/>
        <v>1190.666667</v>
      </c>
      <c r="S61" s="8">
        <f t="shared" si="16"/>
        <v>1190.666667</v>
      </c>
      <c r="T61" s="2" t="s">
        <v>700</v>
      </c>
    </row>
    <row r="62">
      <c r="A62" s="24" t="s">
        <v>3</v>
      </c>
      <c r="B62" s="43" t="s">
        <v>4</v>
      </c>
      <c r="C62" s="43" t="s">
        <v>5</v>
      </c>
      <c r="F62" s="29"/>
      <c r="N62" s="2" t="s">
        <v>711</v>
      </c>
      <c r="O62" s="7">
        <v>21154.38</v>
      </c>
      <c r="P62" s="2">
        <v>6.0</v>
      </c>
      <c r="Q62" s="2">
        <v>2.0</v>
      </c>
      <c r="R62" s="8">
        <f t="shared" si="15"/>
        <v>3525.73</v>
      </c>
      <c r="S62" s="8">
        <f t="shared" si="16"/>
        <v>14102.92</v>
      </c>
      <c r="T62" s="2" t="s">
        <v>705</v>
      </c>
    </row>
    <row r="63">
      <c r="A63" s="2" t="s">
        <v>65</v>
      </c>
      <c r="B63" s="7">
        <v>37500.0</v>
      </c>
      <c r="C63" s="7">
        <f t="shared" ref="C63:C65" si="19">B63/2</f>
        <v>18750</v>
      </c>
      <c r="D63" s="2" t="b">
        <v>0</v>
      </c>
      <c r="E63" s="2" t="s">
        <v>18</v>
      </c>
      <c r="F63" s="2" t="s">
        <v>66</v>
      </c>
      <c r="N63" s="2" t="s">
        <v>712</v>
      </c>
      <c r="O63" s="7">
        <v>13498.0</v>
      </c>
      <c r="P63" s="2">
        <v>12.0</v>
      </c>
      <c r="Q63" s="2">
        <v>0.0</v>
      </c>
      <c r="R63" s="8">
        <f t="shared" si="15"/>
        <v>1124.833333</v>
      </c>
      <c r="S63" s="8">
        <f t="shared" si="16"/>
        <v>13498</v>
      </c>
      <c r="T63" s="2" t="s">
        <v>705</v>
      </c>
    </row>
    <row r="64">
      <c r="A64" s="2" t="s">
        <v>194</v>
      </c>
      <c r="B64" s="7">
        <f>13200-B80</f>
        <v>7640</v>
      </c>
      <c r="C64" s="8">
        <f t="shared" si="19"/>
        <v>3820</v>
      </c>
      <c r="D64" s="2" t="b">
        <v>0</v>
      </c>
      <c r="E64" s="2" t="s">
        <v>13</v>
      </c>
      <c r="F64" s="2" t="s">
        <v>31</v>
      </c>
      <c r="H64" s="2" t="s">
        <v>713</v>
      </c>
      <c r="I64" s="8">
        <f>C80+C65</f>
        <v>4500</v>
      </c>
    </row>
    <row r="65">
      <c r="A65" s="2" t="s">
        <v>68</v>
      </c>
      <c r="B65" s="8">
        <f>(430*8)</f>
        <v>3440</v>
      </c>
      <c r="C65" s="8">
        <f t="shared" si="19"/>
        <v>1720</v>
      </c>
      <c r="D65" s="2" t="b">
        <v>0</v>
      </c>
      <c r="E65" s="2" t="s">
        <v>18</v>
      </c>
      <c r="F65" s="2" t="s">
        <v>18</v>
      </c>
    </row>
    <row r="66">
      <c r="A66" s="2" t="s">
        <v>70</v>
      </c>
      <c r="B66" s="8">
        <f>500*4</f>
        <v>2000</v>
      </c>
      <c r="C66" s="8">
        <f t="shared" ref="C66:C69" si="20">B66/2</f>
        <v>1000</v>
      </c>
      <c r="D66" s="2" t="b">
        <v>0</v>
      </c>
      <c r="E66" s="2" t="s">
        <v>18</v>
      </c>
      <c r="F66" s="2" t="s">
        <v>31</v>
      </c>
    </row>
    <row r="67">
      <c r="A67" s="2" t="s">
        <v>75</v>
      </c>
      <c r="B67" s="7">
        <v>650.0</v>
      </c>
      <c r="C67" s="7">
        <f t="shared" si="20"/>
        <v>325</v>
      </c>
      <c r="D67" s="2" t="b">
        <v>0</v>
      </c>
      <c r="E67" s="2" t="s">
        <v>13</v>
      </c>
      <c r="F67" s="2" t="s">
        <v>31</v>
      </c>
    </row>
    <row r="68">
      <c r="A68" s="2" t="s">
        <v>73</v>
      </c>
      <c r="B68" s="7">
        <v>750.0</v>
      </c>
      <c r="C68" s="7">
        <f t="shared" si="20"/>
        <v>375</v>
      </c>
      <c r="D68" s="2" t="b">
        <v>0</v>
      </c>
      <c r="E68" s="2" t="s">
        <v>13</v>
      </c>
      <c r="F68" s="2" t="s">
        <v>31</v>
      </c>
    </row>
    <row r="69">
      <c r="A69" s="2" t="s">
        <v>77</v>
      </c>
      <c r="B69" s="7">
        <f>(600+111)/2</f>
        <v>355.5</v>
      </c>
      <c r="C69" s="7">
        <f t="shared" si="20"/>
        <v>177.75</v>
      </c>
      <c r="D69" s="2" t="b">
        <v>0</v>
      </c>
      <c r="E69" s="2" t="s">
        <v>13</v>
      </c>
      <c r="F69" s="2" t="s">
        <v>31</v>
      </c>
      <c r="K69" s="8">
        <f>47841-B3-B6-B7-B10-B11</f>
        <v>27596</v>
      </c>
    </row>
    <row r="70">
      <c r="A70" s="5" t="s">
        <v>714</v>
      </c>
      <c r="B70" s="7"/>
      <c r="C70" s="7"/>
      <c r="O70" s="8">
        <f>SUM(O50:O61)</f>
        <v>128074.17</v>
      </c>
      <c r="S70" s="8">
        <f>SUM(S50:S64)</f>
        <v>76521.42667</v>
      </c>
    </row>
    <row r="71">
      <c r="A71" s="2" t="s">
        <v>82</v>
      </c>
      <c r="B71" s="7"/>
      <c r="C71" s="7">
        <f t="shared" ref="C71:C73" si="21">B71/2</f>
        <v>0</v>
      </c>
      <c r="D71" s="2" t="b">
        <v>0</v>
      </c>
      <c r="E71" s="2" t="s">
        <v>18</v>
      </c>
      <c r="F71" s="2" t="s">
        <v>166</v>
      </c>
    </row>
    <row r="72">
      <c r="A72" s="2" t="s">
        <v>715</v>
      </c>
      <c r="B72" s="7">
        <v>1800.0</v>
      </c>
      <c r="C72" s="7">
        <f t="shared" si="21"/>
        <v>900</v>
      </c>
      <c r="D72" s="2" t="b">
        <v>0</v>
      </c>
      <c r="E72" s="2" t="s">
        <v>18</v>
      </c>
      <c r="F72" s="2" t="s">
        <v>18</v>
      </c>
    </row>
    <row r="73">
      <c r="A73" s="2" t="s">
        <v>716</v>
      </c>
      <c r="B73" s="7">
        <v>200.0</v>
      </c>
      <c r="C73" s="7">
        <f t="shared" si="21"/>
        <v>100</v>
      </c>
      <c r="D73" s="2" t="b">
        <v>1</v>
      </c>
      <c r="E73" s="2" t="s">
        <v>18</v>
      </c>
      <c r="F73" s="2" t="s">
        <v>180</v>
      </c>
      <c r="N73" s="23">
        <f>70054.59-16036.05-720-44240.83</f>
        <v>9057.71</v>
      </c>
      <c r="S73" s="8">
        <f>S50+S57+S58+S59+S61</f>
        <v>10477.25667</v>
      </c>
      <c r="T73" s="2" t="s">
        <v>717</v>
      </c>
    </row>
    <row r="74">
      <c r="N74" s="23">
        <f>N73-1200</f>
        <v>7857.71</v>
      </c>
    </row>
    <row r="75">
      <c r="A75" s="2" t="s">
        <v>27</v>
      </c>
      <c r="B75" s="8">
        <f t="shared" ref="B75:C75" si="22">SUM(B63:B74)</f>
        <v>54335.5</v>
      </c>
      <c r="C75" s="8">
        <f t="shared" si="22"/>
        <v>27167.75</v>
      </c>
      <c r="S75" s="8">
        <f>S62+S55+S63</f>
        <v>54145.42</v>
      </c>
      <c r="T75" s="2" t="s">
        <v>718</v>
      </c>
    </row>
    <row r="76">
      <c r="S76" s="8">
        <f>S56</f>
        <v>11898.75</v>
      </c>
      <c r="T76" s="2" t="s">
        <v>719</v>
      </c>
    </row>
    <row r="77">
      <c r="A77" s="1" t="s">
        <v>83</v>
      </c>
    </row>
    <row r="78">
      <c r="A78" s="2" t="s">
        <v>84</v>
      </c>
      <c r="B78" s="7">
        <v>7000.0</v>
      </c>
      <c r="C78" s="8">
        <f t="shared" ref="C78:C80" si="23">B78/2</f>
        <v>3500</v>
      </c>
      <c r="D78" s="2" t="b">
        <v>0</v>
      </c>
      <c r="E78" s="2" t="s">
        <v>13</v>
      </c>
      <c r="F78" s="2" t="s">
        <v>31</v>
      </c>
    </row>
    <row r="79">
      <c r="A79" s="2" t="s">
        <v>86</v>
      </c>
      <c r="B79" s="7">
        <v>2700.0</v>
      </c>
      <c r="C79" s="8">
        <f t="shared" si="23"/>
        <v>1350</v>
      </c>
      <c r="D79" s="2" t="b">
        <v>0</v>
      </c>
      <c r="E79" s="2" t="s">
        <v>720</v>
      </c>
      <c r="F79" s="2" t="s">
        <v>87</v>
      </c>
    </row>
    <row r="80">
      <c r="A80" s="2" t="s">
        <v>85</v>
      </c>
      <c r="B80" s="7">
        <v>5560.0</v>
      </c>
      <c r="C80" s="8">
        <f t="shared" si="23"/>
        <v>2780</v>
      </c>
      <c r="D80" s="2" t="b">
        <v>0</v>
      </c>
      <c r="E80" s="2" t="s">
        <v>18</v>
      </c>
      <c r="F80" s="2" t="s">
        <v>18</v>
      </c>
    </row>
    <row r="82">
      <c r="A82" s="2" t="s">
        <v>27</v>
      </c>
      <c r="B82" s="8">
        <f t="shared" ref="B82:C82" si="24">SUM(B78:B81)</f>
        <v>15260</v>
      </c>
      <c r="C82" s="8">
        <f t="shared" si="24"/>
        <v>7630</v>
      </c>
    </row>
  </sheetData>
  <mergeCells count="7">
    <mergeCell ref="A1:B1"/>
    <mergeCell ref="A17:B17"/>
    <mergeCell ref="A33:B33"/>
    <mergeCell ref="A41:B41"/>
    <mergeCell ref="A49:B49"/>
    <mergeCell ref="A61:B61"/>
    <mergeCell ref="A77:B77"/>
  </mergeCells>
  <dataValidations>
    <dataValidation type="list" allowBlank="1" showErrorMessage="1" sqref="H16:H17 F44:F45">
      <formula1>Cuentas!$A$2:$A$19</formula1>
    </dataValidation>
    <dataValidation type="list" allowBlank="1" showErrorMessage="1" sqref="E3:F13 H15 H18:H25 E19:F28 E35:F37 E43:F43 E44:E45 H44:H47 E51:F57 E63:F69 E71:F73 E78:F80">
      <formula1>Cuentas!$A$2:$A$29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5" max="5" width="15.13"/>
  </cols>
  <sheetData>
    <row r="1">
      <c r="A1" s="18" t="s">
        <v>721</v>
      </c>
      <c r="C1" s="19"/>
      <c r="D1" s="19"/>
      <c r="E1" s="22"/>
      <c r="F1" s="22"/>
      <c r="J1" s="14" t="s">
        <v>644</v>
      </c>
      <c r="K1" s="14" t="s">
        <v>5</v>
      </c>
    </row>
    <row r="2">
      <c r="A2" s="24" t="s">
        <v>3</v>
      </c>
      <c r="B2" s="19" t="s">
        <v>4</v>
      </c>
      <c r="C2" s="19" t="s">
        <v>5</v>
      </c>
      <c r="D2" s="25" t="s">
        <v>6</v>
      </c>
      <c r="E2" s="29"/>
      <c r="F2" s="22"/>
      <c r="I2" s="2" t="s">
        <v>27</v>
      </c>
      <c r="J2" s="8">
        <f>B13+B28+B36+B44+B55+B69+B77</f>
        <v>132405</v>
      </c>
      <c r="K2" s="8">
        <f>C13+C28+C36+C44+C55+C77+C69</f>
        <v>66202.5</v>
      </c>
    </row>
    <row r="3">
      <c r="A3" s="2" t="s">
        <v>26</v>
      </c>
      <c r="B3" s="8">
        <f>CEILING((7500)/12, 100)</f>
        <v>700</v>
      </c>
      <c r="C3" s="8">
        <f t="shared" ref="C3:C11" si="1">B3/2</f>
        <v>350</v>
      </c>
      <c r="D3" s="2" t="b">
        <v>1</v>
      </c>
      <c r="E3" s="2" t="s">
        <v>722</v>
      </c>
    </row>
    <row r="4">
      <c r="A4" s="2" t="s">
        <v>20</v>
      </c>
      <c r="B4" s="8">
        <f>CEILING((9500)/12, 100)</f>
        <v>800</v>
      </c>
      <c r="C4" s="8">
        <f t="shared" si="1"/>
        <v>400</v>
      </c>
      <c r="D4" s="2" t="b">
        <v>1</v>
      </c>
      <c r="E4" s="2" t="s">
        <v>722</v>
      </c>
    </row>
    <row r="5">
      <c r="A5" s="2" t="s">
        <v>652</v>
      </c>
      <c r="B5" s="7">
        <v>1200.0</v>
      </c>
      <c r="C5" s="8">
        <f t="shared" si="1"/>
        <v>600</v>
      </c>
      <c r="D5" s="2" t="b">
        <v>0</v>
      </c>
      <c r="E5" s="2" t="s">
        <v>720</v>
      </c>
    </row>
    <row r="6">
      <c r="A6" s="2" t="s">
        <v>15</v>
      </c>
      <c r="B6" s="7">
        <f>CEILING(7124,100)</f>
        <v>7200</v>
      </c>
      <c r="C6" s="8">
        <f t="shared" si="1"/>
        <v>3600</v>
      </c>
      <c r="D6" s="2" t="b">
        <v>0</v>
      </c>
      <c r="E6" s="2" t="s">
        <v>723</v>
      </c>
    </row>
    <row r="7">
      <c r="A7" s="2" t="s">
        <v>12</v>
      </c>
      <c r="B7" s="7">
        <f>CEILING(7520, 100)</f>
        <v>7600</v>
      </c>
      <c r="C7" s="7">
        <f t="shared" si="1"/>
        <v>3800</v>
      </c>
      <c r="D7" s="2" t="b">
        <v>0</v>
      </c>
      <c r="E7" s="2" t="s">
        <v>723</v>
      </c>
    </row>
    <row r="8">
      <c r="A8" s="2" t="s">
        <v>724</v>
      </c>
      <c r="B8" s="7">
        <v>2200.0</v>
      </c>
      <c r="C8" s="7">
        <f t="shared" si="1"/>
        <v>1100</v>
      </c>
      <c r="D8" s="2" t="b">
        <v>0</v>
      </c>
      <c r="E8" s="2" t="s">
        <v>723</v>
      </c>
      <c r="H8" s="2"/>
    </row>
    <row r="9">
      <c r="A9" s="2" t="s">
        <v>648</v>
      </c>
      <c r="B9" s="7">
        <v>2200.0</v>
      </c>
      <c r="C9" s="7">
        <f t="shared" si="1"/>
        <v>1100</v>
      </c>
      <c r="D9" s="2" t="b">
        <v>0</v>
      </c>
      <c r="E9" s="2" t="s">
        <v>723</v>
      </c>
      <c r="H9" s="2"/>
      <c r="I9" s="2"/>
      <c r="J9" s="2"/>
      <c r="K9" s="2"/>
    </row>
    <row r="10">
      <c r="A10" s="2" t="s">
        <v>24</v>
      </c>
      <c r="B10" s="7">
        <v>1095.0</v>
      </c>
      <c r="C10" s="7">
        <f t="shared" si="1"/>
        <v>547.5</v>
      </c>
      <c r="D10" s="2" t="b">
        <v>0</v>
      </c>
      <c r="E10" s="2" t="s">
        <v>723</v>
      </c>
      <c r="H10" s="2"/>
      <c r="I10" s="2"/>
      <c r="J10" s="2"/>
      <c r="K10" s="2"/>
    </row>
    <row r="11">
      <c r="A11" s="2" t="s">
        <v>23</v>
      </c>
      <c r="B11" s="7">
        <v>1180.0</v>
      </c>
      <c r="C11" s="7">
        <f t="shared" si="1"/>
        <v>590</v>
      </c>
      <c r="D11" s="2" t="b">
        <v>0</v>
      </c>
      <c r="E11" s="2" t="s">
        <v>723</v>
      </c>
      <c r="H11" s="2"/>
      <c r="I11" s="2"/>
      <c r="J11" s="2"/>
      <c r="K11" s="2"/>
    </row>
    <row r="12">
      <c r="A12" s="2"/>
      <c r="B12" s="7"/>
      <c r="C12" s="7"/>
      <c r="H12" s="2"/>
      <c r="I12" s="2" t="s">
        <v>91</v>
      </c>
      <c r="J12" s="2" t="s">
        <v>92</v>
      </c>
      <c r="K12" s="2" t="s">
        <v>93</v>
      </c>
    </row>
    <row r="13">
      <c r="A13" s="2" t="s">
        <v>27</v>
      </c>
      <c r="B13" s="7">
        <f t="shared" ref="B13:C13" si="2">SUM(B2:B12)</f>
        <v>24175</v>
      </c>
      <c r="C13" s="7">
        <f t="shared" si="2"/>
        <v>12087.5</v>
      </c>
      <c r="H13" s="2" t="s">
        <v>720</v>
      </c>
      <c r="I13" s="8">
        <f t="shared" ref="I13:I22" si="3">CEILING(SUMIF($E$2:$E$80, H13, $B$2:$B$80),100)</f>
        <v>3200</v>
      </c>
      <c r="J13" s="8">
        <f t="shared" ref="J13:J22" si="4">CEILING(SUMIF($E$2:$E$80, H13, $C$2:$C$80),100)</f>
        <v>1600</v>
      </c>
      <c r="K13" s="2" t="s">
        <v>608</v>
      </c>
    </row>
    <row r="14">
      <c r="A14" s="2"/>
      <c r="B14" s="7"/>
      <c r="C14" s="7"/>
      <c r="H14" s="2" t="s">
        <v>723</v>
      </c>
      <c r="I14" s="8">
        <f t="shared" si="3"/>
        <v>59000</v>
      </c>
      <c r="J14" s="8">
        <f t="shared" si="4"/>
        <v>29500</v>
      </c>
      <c r="K14" s="2" t="s">
        <v>241</v>
      </c>
    </row>
    <row r="15">
      <c r="A15" s="18" t="s">
        <v>28</v>
      </c>
      <c r="C15" s="19"/>
      <c r="E15" s="22"/>
      <c r="F15" s="22"/>
      <c r="H15" s="2" t="s">
        <v>176</v>
      </c>
      <c r="I15" s="8">
        <f t="shared" si="3"/>
        <v>17800</v>
      </c>
      <c r="J15" s="8">
        <f t="shared" si="4"/>
        <v>8900</v>
      </c>
      <c r="K15" s="2" t="s">
        <v>241</v>
      </c>
    </row>
    <row r="16">
      <c r="A16" s="24" t="s">
        <v>3</v>
      </c>
      <c r="B16" s="19" t="s">
        <v>4</v>
      </c>
      <c r="C16" s="19" t="s">
        <v>5</v>
      </c>
      <c r="E16" s="29"/>
      <c r="F16" s="22"/>
      <c r="H16" s="2" t="s">
        <v>722</v>
      </c>
      <c r="I16" s="8">
        <f t="shared" si="3"/>
        <v>3100</v>
      </c>
      <c r="J16" s="8">
        <f t="shared" si="4"/>
        <v>1600</v>
      </c>
      <c r="K16" s="2" t="s">
        <v>725</v>
      </c>
    </row>
    <row r="17">
      <c r="A17" s="42" t="s">
        <v>39</v>
      </c>
      <c r="B17" s="40">
        <f>CEILING(899/12, 10)</f>
        <v>80</v>
      </c>
      <c r="C17" s="40">
        <f t="shared" ref="C17:C26" si="5">B17/2</f>
        <v>40</v>
      </c>
      <c r="D17" s="2" t="b">
        <v>1</v>
      </c>
      <c r="E17" s="52" t="s">
        <v>722</v>
      </c>
      <c r="F17" s="52"/>
      <c r="H17" s="2" t="s">
        <v>183</v>
      </c>
      <c r="I17" s="8">
        <f t="shared" si="3"/>
        <v>6000</v>
      </c>
      <c r="J17" s="8">
        <f t="shared" si="4"/>
        <v>3000</v>
      </c>
      <c r="K17" s="2" t="s">
        <v>693</v>
      </c>
    </row>
    <row r="18">
      <c r="A18" s="42" t="s">
        <v>34</v>
      </c>
      <c r="B18" s="40">
        <f>CEILING(2500/12, 10)</f>
        <v>210</v>
      </c>
      <c r="C18" s="40">
        <f t="shared" si="5"/>
        <v>105</v>
      </c>
      <c r="D18" s="2" t="b">
        <v>1</v>
      </c>
      <c r="E18" s="52" t="s">
        <v>722</v>
      </c>
      <c r="F18" s="42"/>
      <c r="H18" s="2" t="s">
        <v>726</v>
      </c>
      <c r="I18" s="8">
        <f t="shared" si="3"/>
        <v>2000</v>
      </c>
      <c r="J18" s="8">
        <f t="shared" si="4"/>
        <v>1000</v>
      </c>
      <c r="K18" s="2" t="s">
        <v>241</v>
      </c>
    </row>
    <row r="19">
      <c r="A19" s="42" t="s">
        <v>38</v>
      </c>
      <c r="B19" s="40">
        <f>IFERROR(__xludf.DUMMYFUNCTION("CEILING(GOOGLEFINANCE(""CURRENCY:USDMXN"")*6, 10)"),110.0)</f>
        <v>110</v>
      </c>
      <c r="C19" s="40">
        <f t="shared" si="5"/>
        <v>55</v>
      </c>
      <c r="D19" s="2" t="b">
        <v>0</v>
      </c>
      <c r="E19" s="52" t="s">
        <v>180</v>
      </c>
      <c r="F19" s="42"/>
      <c r="H19" s="2" t="s">
        <v>166</v>
      </c>
      <c r="I19" s="8">
        <f t="shared" si="3"/>
        <v>14800</v>
      </c>
      <c r="J19" s="8">
        <f t="shared" si="4"/>
        <v>7400</v>
      </c>
      <c r="K19" s="2" t="s">
        <v>241</v>
      </c>
    </row>
    <row r="20">
      <c r="A20" s="42" t="s">
        <v>727</v>
      </c>
      <c r="B20" s="40">
        <f>CEILING(109,10)</f>
        <v>110</v>
      </c>
      <c r="C20" s="40">
        <f t="shared" si="5"/>
        <v>55</v>
      </c>
      <c r="D20" s="2" t="b">
        <v>0</v>
      </c>
      <c r="E20" s="52" t="s">
        <v>180</v>
      </c>
      <c r="F20" s="42"/>
      <c r="H20" s="2" t="s">
        <v>180</v>
      </c>
      <c r="I20" s="8">
        <f t="shared" si="3"/>
        <v>4800</v>
      </c>
      <c r="J20" s="8">
        <f t="shared" si="4"/>
        <v>2400</v>
      </c>
      <c r="K20" s="2" t="s">
        <v>241</v>
      </c>
    </row>
    <row r="21">
      <c r="A21" s="42" t="s">
        <v>696</v>
      </c>
      <c r="B21" s="40">
        <f>CEILING(399/3,10)</f>
        <v>140</v>
      </c>
      <c r="C21" s="40">
        <f t="shared" si="5"/>
        <v>70</v>
      </c>
      <c r="D21" s="2" t="b">
        <v>0</v>
      </c>
      <c r="E21" s="52" t="s">
        <v>180</v>
      </c>
      <c r="F21" s="52"/>
      <c r="H21" s="2" t="s">
        <v>728</v>
      </c>
      <c r="I21" s="8">
        <f t="shared" si="3"/>
        <v>20100</v>
      </c>
      <c r="J21" s="8">
        <f t="shared" si="4"/>
        <v>10100</v>
      </c>
    </row>
    <row r="22">
      <c r="A22" s="42" t="s">
        <v>35</v>
      </c>
      <c r="B22" s="40">
        <f>CEILING(249,10)</f>
        <v>250</v>
      </c>
      <c r="C22" s="40">
        <f t="shared" si="5"/>
        <v>125</v>
      </c>
      <c r="D22" s="2" t="b">
        <v>0</v>
      </c>
      <c r="E22" s="52" t="s">
        <v>180</v>
      </c>
      <c r="F22" s="42"/>
      <c r="H22" s="2" t="s">
        <v>169</v>
      </c>
      <c r="I22" s="8">
        <f t="shared" si="3"/>
        <v>1800</v>
      </c>
      <c r="J22" s="8">
        <f t="shared" si="4"/>
        <v>900</v>
      </c>
      <c r="K22" s="2" t="s">
        <v>241</v>
      </c>
    </row>
    <row r="23">
      <c r="A23" s="42" t="s">
        <v>32</v>
      </c>
      <c r="B23" s="40">
        <f>CEILING(299,10)</f>
        <v>300</v>
      </c>
      <c r="C23" s="40">
        <f t="shared" si="5"/>
        <v>150</v>
      </c>
      <c r="D23" s="2" t="b">
        <v>0</v>
      </c>
      <c r="E23" s="52" t="s">
        <v>180</v>
      </c>
      <c r="F23" s="42"/>
    </row>
    <row r="24">
      <c r="A24" s="42" t="s">
        <v>41</v>
      </c>
      <c r="B24" s="40">
        <f>IFERROR(__xludf.DUMMYFUNCTION("CEILING(GOOGLEFINANCE(""CURRENCY:USDMXN"")*39, 10)"),680.0)</f>
        <v>680</v>
      </c>
      <c r="C24" s="40">
        <f t="shared" si="5"/>
        <v>340</v>
      </c>
      <c r="D24" s="2" t="b">
        <v>0</v>
      </c>
      <c r="E24" s="52" t="s">
        <v>180</v>
      </c>
      <c r="F24" s="42"/>
    </row>
    <row r="25">
      <c r="A25" s="42" t="s">
        <v>40</v>
      </c>
      <c r="B25" s="40">
        <v>70.0</v>
      </c>
      <c r="C25" s="40">
        <f t="shared" si="5"/>
        <v>35</v>
      </c>
      <c r="D25" s="2" t="b">
        <v>0</v>
      </c>
      <c r="E25" s="52" t="s">
        <v>180</v>
      </c>
      <c r="F25" s="42"/>
    </row>
    <row r="26" ht="14.25" customHeight="1">
      <c r="A26" s="52" t="s">
        <v>37</v>
      </c>
      <c r="B26" s="121">
        <v>200.0</v>
      </c>
      <c r="C26" s="40">
        <f t="shared" si="5"/>
        <v>100</v>
      </c>
      <c r="D26" s="2" t="b">
        <v>0</v>
      </c>
      <c r="E26" s="52" t="s">
        <v>180</v>
      </c>
      <c r="F26" s="42"/>
      <c r="J26" s="8">
        <f>SUM(J13:J22)</f>
        <v>66400</v>
      </c>
    </row>
    <row r="27" ht="14.25" customHeight="1">
      <c r="A27" s="42"/>
      <c r="B27" s="42"/>
      <c r="C27" s="42"/>
      <c r="E27" s="42"/>
      <c r="F27" s="42"/>
    </row>
    <row r="28" ht="14.25" customHeight="1">
      <c r="A28" s="2" t="s">
        <v>27</v>
      </c>
      <c r="B28" s="7">
        <f t="shared" ref="B28:C28" si="6">SUM(B17:B27)</f>
        <v>2150</v>
      </c>
      <c r="C28" s="7">
        <f t="shared" si="6"/>
        <v>1075</v>
      </c>
      <c r="E28" s="42"/>
      <c r="F28" s="42"/>
    </row>
    <row r="29">
      <c r="A29" s="39"/>
      <c r="B29" s="40"/>
      <c r="C29" s="40"/>
      <c r="E29" s="42"/>
      <c r="F29" s="42"/>
    </row>
    <row r="30">
      <c r="A30" s="1" t="s">
        <v>42</v>
      </c>
      <c r="C30" s="43"/>
      <c r="E30" s="29"/>
      <c r="F30" s="29"/>
    </row>
    <row r="31">
      <c r="A31" s="24" t="s">
        <v>3</v>
      </c>
      <c r="B31" s="43" t="s">
        <v>4</v>
      </c>
      <c r="C31" s="43" t="s">
        <v>5</v>
      </c>
      <c r="E31" s="29"/>
      <c r="F31" s="29"/>
    </row>
    <row r="32">
      <c r="A32" s="2" t="s">
        <v>46</v>
      </c>
      <c r="B32" s="7">
        <v>500.0</v>
      </c>
      <c r="C32" s="7">
        <f t="shared" ref="C32:C34" si="7">B32/2</f>
        <v>250</v>
      </c>
      <c r="D32" s="2" t="b">
        <v>0</v>
      </c>
      <c r="E32" s="2" t="s">
        <v>180</v>
      </c>
    </row>
    <row r="33">
      <c r="A33" s="2" t="s">
        <v>47</v>
      </c>
      <c r="B33" s="7">
        <v>600.0</v>
      </c>
      <c r="C33" s="7">
        <f t="shared" si="7"/>
        <v>300</v>
      </c>
      <c r="D33" s="2" t="b">
        <v>0</v>
      </c>
      <c r="E33" s="2" t="s">
        <v>180</v>
      </c>
    </row>
    <row r="34">
      <c r="A34" s="2" t="s">
        <v>43</v>
      </c>
      <c r="B34" s="7">
        <v>1200.0</v>
      </c>
      <c r="C34" s="7">
        <f t="shared" si="7"/>
        <v>600</v>
      </c>
      <c r="D34" s="2" t="b">
        <v>0</v>
      </c>
      <c r="E34" s="2" t="s">
        <v>180</v>
      </c>
    </row>
    <row r="36">
      <c r="A36" s="2" t="s">
        <v>27</v>
      </c>
      <c r="B36" s="8">
        <f t="shared" ref="B36:C36" si="8">SUM(B32:B35)</f>
        <v>2300</v>
      </c>
      <c r="C36" s="8">
        <f t="shared" si="8"/>
        <v>1150</v>
      </c>
    </row>
    <row r="38">
      <c r="A38" s="1" t="s">
        <v>48</v>
      </c>
      <c r="C38" s="49"/>
      <c r="E38" s="50"/>
      <c r="F38" s="50"/>
    </row>
    <row r="39">
      <c r="A39" s="24" t="s">
        <v>3</v>
      </c>
      <c r="B39" s="43" t="s">
        <v>4</v>
      </c>
      <c r="C39" s="43" t="s">
        <v>5</v>
      </c>
      <c r="E39" s="29"/>
      <c r="F39" s="29"/>
      <c r="J39" s="51"/>
    </row>
    <row r="40">
      <c r="A40" s="2" t="s">
        <v>729</v>
      </c>
      <c r="B40" s="7">
        <v>2000.0</v>
      </c>
      <c r="C40" s="7">
        <f>B40/2</f>
        <v>1000</v>
      </c>
      <c r="D40" s="2" t="b">
        <v>0</v>
      </c>
      <c r="E40" s="2" t="s">
        <v>726</v>
      </c>
    </row>
    <row r="41">
      <c r="A41" s="2" t="s">
        <v>53</v>
      </c>
      <c r="B41" s="7">
        <v>6000.0</v>
      </c>
      <c r="C41" s="8">
        <f t="shared" ref="C41:C42" si="9">B41/2</f>
        <v>3000</v>
      </c>
      <c r="D41" s="2" t="b">
        <v>0</v>
      </c>
      <c r="E41" s="2" t="s">
        <v>183</v>
      </c>
    </row>
    <row r="42">
      <c r="A42" s="2" t="s">
        <v>55</v>
      </c>
      <c r="B42" s="7">
        <v>9000.0</v>
      </c>
      <c r="C42" s="7">
        <f t="shared" si="9"/>
        <v>4500</v>
      </c>
      <c r="D42" s="2" t="b">
        <v>0</v>
      </c>
      <c r="E42" s="2" t="s">
        <v>176</v>
      </c>
    </row>
    <row r="44">
      <c r="A44" s="2" t="s">
        <v>27</v>
      </c>
      <c r="B44" s="8">
        <f t="shared" ref="B44:C44" si="10">SUM(B40:B43)</f>
        <v>17000</v>
      </c>
      <c r="C44" s="8">
        <f t="shared" si="10"/>
        <v>8500</v>
      </c>
    </row>
    <row r="46">
      <c r="A46" s="1" t="s">
        <v>54</v>
      </c>
    </row>
    <row r="47">
      <c r="A47" s="24" t="s">
        <v>3</v>
      </c>
      <c r="B47" s="43" t="s">
        <v>4</v>
      </c>
      <c r="C47" s="43" t="s">
        <v>5</v>
      </c>
      <c r="E47" s="29"/>
      <c r="F47" s="29"/>
    </row>
    <row r="48">
      <c r="A48" s="2" t="s">
        <v>63</v>
      </c>
      <c r="B48" s="8">
        <f>CEILING((700*2)/12, 10)</f>
        <v>120</v>
      </c>
      <c r="C48" s="8">
        <f>B48/2</f>
        <v>60</v>
      </c>
      <c r="D48" s="2" t="b">
        <v>0</v>
      </c>
      <c r="E48" s="2" t="s">
        <v>176</v>
      </c>
    </row>
    <row r="49">
      <c r="A49" s="2" t="s">
        <v>62</v>
      </c>
      <c r="B49" s="8">
        <f>CEILING(2500/12, 10)</f>
        <v>210</v>
      </c>
      <c r="C49" s="7">
        <f>B49/2</f>
        <v>105</v>
      </c>
      <c r="D49" s="2" t="b">
        <v>1</v>
      </c>
      <c r="E49" s="2" t="s">
        <v>722</v>
      </c>
    </row>
    <row r="50">
      <c r="A50" s="2" t="s">
        <v>60</v>
      </c>
      <c r="B50" s="7">
        <v>600.0</v>
      </c>
      <c r="C50" s="8">
        <f t="shared" ref="C50:C53" si="11">B50/2</f>
        <v>300</v>
      </c>
      <c r="D50" s="2" t="b">
        <v>0</v>
      </c>
      <c r="E50" s="2" t="s">
        <v>728</v>
      </c>
    </row>
    <row r="51">
      <c r="A51" s="2" t="s">
        <v>58</v>
      </c>
      <c r="B51" s="8">
        <f>CEILING(10000/12, 100)</f>
        <v>900</v>
      </c>
      <c r="C51" s="8">
        <f t="shared" si="11"/>
        <v>450</v>
      </c>
      <c r="D51" s="2" t="b">
        <v>1</v>
      </c>
      <c r="E51" s="2" t="s">
        <v>722</v>
      </c>
    </row>
    <row r="52">
      <c r="A52" s="2" t="s">
        <v>59</v>
      </c>
      <c r="B52" s="7">
        <v>1500.0</v>
      </c>
      <c r="C52" s="7">
        <f t="shared" si="11"/>
        <v>750</v>
      </c>
      <c r="D52" s="2" t="b">
        <v>0</v>
      </c>
      <c r="E52" s="2" t="s">
        <v>176</v>
      </c>
    </row>
    <row r="53">
      <c r="A53" s="2" t="s">
        <v>57</v>
      </c>
      <c r="B53" s="7">
        <v>3500.0</v>
      </c>
      <c r="C53" s="8">
        <f t="shared" si="11"/>
        <v>1750</v>
      </c>
      <c r="D53" s="2" t="b">
        <v>0</v>
      </c>
      <c r="E53" s="2" t="s">
        <v>176</v>
      </c>
    </row>
    <row r="55">
      <c r="A55" s="2" t="s">
        <v>27</v>
      </c>
      <c r="B55" s="8">
        <f t="shared" ref="B55:C55" si="12">SUM(B48:B54)</f>
        <v>6830</v>
      </c>
      <c r="C55" s="8">
        <f t="shared" si="12"/>
        <v>3415</v>
      </c>
    </row>
    <row r="57">
      <c r="A57" s="1" t="s">
        <v>64</v>
      </c>
    </row>
    <row r="58">
      <c r="A58" s="24" t="s">
        <v>3</v>
      </c>
      <c r="B58" s="43" t="s">
        <v>4</v>
      </c>
      <c r="C58" s="43" t="s">
        <v>5</v>
      </c>
      <c r="E58" s="29"/>
      <c r="F58" s="29"/>
    </row>
    <row r="59">
      <c r="A59" s="2" t="s">
        <v>75</v>
      </c>
      <c r="B59" s="7">
        <v>600.0</v>
      </c>
      <c r="C59" s="7">
        <f t="shared" ref="C59:C60" si="13">B59/2</f>
        <v>300</v>
      </c>
      <c r="D59" s="2" t="b">
        <v>0</v>
      </c>
      <c r="E59" s="2" t="s">
        <v>180</v>
      </c>
    </row>
    <row r="60">
      <c r="A60" s="2" t="s">
        <v>73</v>
      </c>
      <c r="B60" s="7">
        <v>650.0</v>
      </c>
      <c r="C60" s="7">
        <f t="shared" si="13"/>
        <v>325</v>
      </c>
      <c r="D60" s="2" t="b">
        <v>0</v>
      </c>
      <c r="E60" s="2" t="s">
        <v>728</v>
      </c>
    </row>
    <row r="61">
      <c r="A61" s="2" t="s">
        <v>194</v>
      </c>
      <c r="B61" s="7">
        <v>12300.0</v>
      </c>
      <c r="C61" s="8">
        <f t="shared" ref="C61:C63" si="14">B61/2</f>
        <v>6150</v>
      </c>
      <c r="D61" s="2" t="b">
        <v>0</v>
      </c>
      <c r="E61" s="2" t="s">
        <v>728</v>
      </c>
    </row>
    <row r="62">
      <c r="A62" s="2" t="s">
        <v>730</v>
      </c>
      <c r="B62" s="8">
        <f>400*12</f>
        <v>4800</v>
      </c>
      <c r="C62" s="8">
        <f t="shared" si="14"/>
        <v>2400</v>
      </c>
      <c r="D62" s="2" t="b">
        <v>0</v>
      </c>
      <c r="E62" s="2" t="s">
        <v>166</v>
      </c>
    </row>
    <row r="63">
      <c r="A63" s="2" t="s">
        <v>65</v>
      </c>
      <c r="B63" s="7">
        <v>37500.0</v>
      </c>
      <c r="C63" s="7">
        <f t="shared" si="14"/>
        <v>18750</v>
      </c>
      <c r="D63" s="2" t="b">
        <v>0</v>
      </c>
      <c r="E63" s="2" t="s">
        <v>723</v>
      </c>
    </row>
    <row r="64">
      <c r="A64" s="5" t="s">
        <v>714</v>
      </c>
      <c r="B64" s="7"/>
      <c r="C64" s="7"/>
    </row>
    <row r="65">
      <c r="A65" s="2" t="s">
        <v>716</v>
      </c>
      <c r="B65" s="7">
        <v>200.0</v>
      </c>
      <c r="C65" s="7">
        <f t="shared" ref="C65:C67" si="15">B65/2</f>
        <v>100</v>
      </c>
      <c r="D65" s="2" t="b">
        <v>1</v>
      </c>
      <c r="E65" s="2" t="s">
        <v>722</v>
      </c>
    </row>
    <row r="66">
      <c r="A66" s="2" t="s">
        <v>715</v>
      </c>
      <c r="B66" s="7">
        <v>1800.0</v>
      </c>
      <c r="C66" s="7">
        <f t="shared" si="15"/>
        <v>900</v>
      </c>
      <c r="D66" s="2" t="b">
        <v>0</v>
      </c>
      <c r="E66" s="2" t="s">
        <v>169</v>
      </c>
    </row>
    <row r="67">
      <c r="A67" s="2" t="s">
        <v>82</v>
      </c>
      <c r="B67" s="7">
        <v>6000.0</v>
      </c>
      <c r="C67" s="7">
        <f t="shared" si="15"/>
        <v>3000</v>
      </c>
      <c r="D67" s="2" t="b">
        <v>0</v>
      </c>
      <c r="E67" s="2" t="s">
        <v>166</v>
      </c>
    </row>
    <row r="69">
      <c r="A69" s="2" t="s">
        <v>27</v>
      </c>
      <c r="B69" s="8">
        <f t="shared" ref="B69:C69" si="16">SUM(B59:B68)</f>
        <v>63850</v>
      </c>
      <c r="C69" s="8">
        <f t="shared" si="16"/>
        <v>31925</v>
      </c>
    </row>
    <row r="71">
      <c r="A71" s="1" t="s">
        <v>83</v>
      </c>
    </row>
    <row r="72">
      <c r="A72" s="2" t="s">
        <v>86</v>
      </c>
      <c r="B72" s="7">
        <v>2000.0</v>
      </c>
      <c r="C72" s="8">
        <f t="shared" ref="C72:C75" si="17">B72/2</f>
        <v>1000</v>
      </c>
      <c r="D72" s="2" t="b">
        <v>0</v>
      </c>
      <c r="E72" s="2" t="s">
        <v>720</v>
      </c>
    </row>
    <row r="73">
      <c r="A73" s="2" t="s">
        <v>85</v>
      </c>
      <c r="B73" s="7">
        <v>4000.0</v>
      </c>
      <c r="C73" s="8">
        <f t="shared" si="17"/>
        <v>2000</v>
      </c>
      <c r="D73" s="2" t="b">
        <v>0</v>
      </c>
      <c r="E73" s="2" t="s">
        <v>166</v>
      </c>
    </row>
    <row r="74">
      <c r="A74" s="2" t="s">
        <v>84</v>
      </c>
      <c r="B74" s="7">
        <v>6500.0</v>
      </c>
      <c r="C74" s="8">
        <f t="shared" si="17"/>
        <v>3250</v>
      </c>
      <c r="D74" s="2" t="b">
        <v>0</v>
      </c>
      <c r="E74" s="2" t="s">
        <v>728</v>
      </c>
    </row>
    <row r="75">
      <c r="A75" s="2" t="s">
        <v>30</v>
      </c>
      <c r="B75" s="7">
        <v>3600.0</v>
      </c>
      <c r="C75" s="8">
        <f t="shared" si="17"/>
        <v>1800</v>
      </c>
      <c r="D75" s="2" t="b">
        <v>0</v>
      </c>
      <c r="E75" s="2" t="s">
        <v>176</v>
      </c>
    </row>
    <row r="76">
      <c r="A76" s="2"/>
      <c r="B76" s="7"/>
      <c r="C76" s="8"/>
    </row>
    <row r="77">
      <c r="A77" s="2" t="s">
        <v>27</v>
      </c>
      <c r="B77" s="8">
        <f t="shared" ref="B77:C77" si="18">SUM(B72:B75)</f>
        <v>16100</v>
      </c>
      <c r="C77" s="8">
        <f t="shared" si="18"/>
        <v>8050</v>
      </c>
    </row>
  </sheetData>
  <mergeCells count="7">
    <mergeCell ref="A1:B1"/>
    <mergeCell ref="A15:B15"/>
    <mergeCell ref="A30:B30"/>
    <mergeCell ref="A38:B38"/>
    <mergeCell ref="A46:B46"/>
    <mergeCell ref="A57:B57"/>
    <mergeCell ref="A71:B71"/>
  </mergeCells>
  <dataValidations>
    <dataValidation type="list" allowBlank="1" showErrorMessage="1" sqref="E3:E11 H13:H22 E17:E26 E32:E34 E40:E42 E48:E53 E59:E63 E65:E67 E72:E75">
      <formula1>Cuentas!$A$2:$A$19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6" max="6" width="20.63"/>
    <col customWidth="1" min="10" max="10" width="10.13"/>
    <col customWidth="1" min="11" max="11" width="29.13"/>
    <col customWidth="1" min="13" max="13" width="15.5"/>
  </cols>
  <sheetData>
    <row r="1">
      <c r="A1" s="29" t="s">
        <v>731</v>
      </c>
      <c r="B1" s="43" t="s">
        <v>4</v>
      </c>
      <c r="C1" s="43" t="s">
        <v>5</v>
      </c>
      <c r="D1" s="123"/>
      <c r="E1" s="123"/>
      <c r="F1" s="124" t="s">
        <v>732</v>
      </c>
      <c r="G1" s="125" t="s">
        <v>644</v>
      </c>
      <c r="H1" s="125" t="s">
        <v>5</v>
      </c>
    </row>
    <row r="2">
      <c r="A2" s="2" t="s">
        <v>32</v>
      </c>
      <c r="B2" s="126">
        <v>299.0</v>
      </c>
      <c r="C2" s="126">
        <f t="shared" ref="C2:C8" si="1">B2/2</f>
        <v>149.5</v>
      </c>
      <c r="D2" s="2" t="s">
        <v>176</v>
      </c>
      <c r="F2" s="2" t="s">
        <v>733</v>
      </c>
      <c r="G2" s="8">
        <f>10000/12</f>
        <v>833.3333333</v>
      </c>
      <c r="H2" s="8">
        <f t="shared" ref="H2:H9" si="2">G2/2</f>
        <v>416.6666667</v>
      </c>
      <c r="I2" s="2" t="s">
        <v>734</v>
      </c>
      <c r="M2" s="2" t="s">
        <v>735</v>
      </c>
    </row>
    <row r="3">
      <c r="A3" s="2" t="s">
        <v>39</v>
      </c>
      <c r="B3" s="127">
        <f>899/12</f>
        <v>74.91666667</v>
      </c>
      <c r="C3" s="126">
        <f t="shared" si="1"/>
        <v>37.45833333</v>
      </c>
      <c r="D3" s="2" t="s">
        <v>734</v>
      </c>
      <c r="F3" s="2" t="s">
        <v>736</v>
      </c>
      <c r="G3" s="7">
        <v>1600.0</v>
      </c>
      <c r="H3" s="8">
        <f t="shared" si="2"/>
        <v>800</v>
      </c>
      <c r="I3" s="2" t="s">
        <v>169</v>
      </c>
      <c r="M3" s="2" t="s">
        <v>166</v>
      </c>
    </row>
    <row r="4">
      <c r="A4" s="2" t="s">
        <v>516</v>
      </c>
      <c r="B4" s="126">
        <v>99.0</v>
      </c>
      <c r="C4" s="126">
        <f t="shared" si="1"/>
        <v>49.5</v>
      </c>
      <c r="D4" s="2" t="s">
        <v>176</v>
      </c>
      <c r="F4" s="2" t="s">
        <v>737</v>
      </c>
      <c r="G4" s="7">
        <v>2449.9</v>
      </c>
      <c r="H4" s="8">
        <f t="shared" si="2"/>
        <v>1224.95</v>
      </c>
      <c r="I4" s="2" t="s">
        <v>176</v>
      </c>
      <c r="M4" s="2" t="s">
        <v>176</v>
      </c>
    </row>
    <row r="5">
      <c r="A5" s="2" t="s">
        <v>696</v>
      </c>
      <c r="B5" s="127">
        <f>399/3</f>
        <v>133</v>
      </c>
      <c r="C5" s="126">
        <f t="shared" si="1"/>
        <v>66.5</v>
      </c>
      <c r="D5" s="2" t="s">
        <v>176</v>
      </c>
      <c r="F5" s="2" t="s">
        <v>730</v>
      </c>
      <c r="G5" s="8">
        <f>400*12</f>
        <v>4800</v>
      </c>
      <c r="H5" s="8">
        <f t="shared" si="2"/>
        <v>2400</v>
      </c>
      <c r="I5" s="2" t="s">
        <v>85</v>
      </c>
      <c r="M5" s="2" t="s">
        <v>726</v>
      </c>
    </row>
    <row r="6">
      <c r="A6" s="2" t="s">
        <v>35</v>
      </c>
      <c r="B6" s="126">
        <v>249.0</v>
      </c>
      <c r="C6" s="126">
        <f t="shared" si="1"/>
        <v>124.5</v>
      </c>
      <c r="D6" s="2" t="s">
        <v>176</v>
      </c>
      <c r="F6" s="2" t="s">
        <v>738</v>
      </c>
      <c r="G6" s="7">
        <v>32500.0</v>
      </c>
      <c r="H6" s="8">
        <f t="shared" si="2"/>
        <v>16250</v>
      </c>
      <c r="I6" s="2" t="s">
        <v>166</v>
      </c>
      <c r="M6" s="2" t="s">
        <v>734</v>
      </c>
    </row>
    <row r="7">
      <c r="A7" s="2" t="s">
        <v>38</v>
      </c>
      <c r="B7" s="127">
        <f>IFERROR(__xludf.DUMMYFUNCTION("GOOGLEFINANCE(""CURRENCY:USDMXN"")*6"),103.30260000000001)</f>
        <v>103.3026</v>
      </c>
      <c r="C7" s="126">
        <f t="shared" si="1"/>
        <v>51.6513</v>
      </c>
      <c r="D7" s="2" t="s">
        <v>176</v>
      </c>
      <c r="F7" s="2" t="s">
        <v>86</v>
      </c>
      <c r="G7" s="7">
        <v>2000.0</v>
      </c>
      <c r="H7" s="8">
        <f t="shared" si="2"/>
        <v>1000</v>
      </c>
      <c r="I7" s="2" t="s">
        <v>169</v>
      </c>
      <c r="M7" s="2" t="s">
        <v>169</v>
      </c>
    </row>
    <row r="8">
      <c r="A8" s="2" t="s">
        <v>41</v>
      </c>
      <c r="B8" s="127">
        <f>IFERROR(__xludf.DUMMYFUNCTION("GOOGLEFINANCE(""CURRENCY:USDMXN"")*39"),671.4669000000001)</f>
        <v>671.4669</v>
      </c>
      <c r="C8" s="126">
        <f t="shared" si="1"/>
        <v>335.73345</v>
      </c>
      <c r="D8" s="2" t="s">
        <v>176</v>
      </c>
      <c r="F8" s="2" t="s">
        <v>739</v>
      </c>
      <c r="G8" s="8">
        <f>(7500+3500)/12</f>
        <v>916.6666667</v>
      </c>
      <c r="H8" s="8">
        <f t="shared" si="2"/>
        <v>458.3333333</v>
      </c>
      <c r="I8" s="2" t="s">
        <v>734</v>
      </c>
      <c r="M8" s="2" t="s">
        <v>183</v>
      </c>
    </row>
    <row r="9">
      <c r="A9" s="2" t="s">
        <v>34</v>
      </c>
      <c r="B9" s="8">
        <f>2500/12</f>
        <v>208.3333333</v>
      </c>
      <c r="C9" s="8">
        <f>B9/2</f>
        <v>104.1666667</v>
      </c>
      <c r="D9" s="2" t="s">
        <v>176</v>
      </c>
      <c r="F9" s="2" t="s">
        <v>740</v>
      </c>
      <c r="G9" s="7">
        <v>600.0</v>
      </c>
      <c r="H9" s="8">
        <f t="shared" si="2"/>
        <v>300</v>
      </c>
      <c r="I9" s="2" t="s">
        <v>85</v>
      </c>
      <c r="J9" s="2"/>
      <c r="K9" s="7"/>
      <c r="M9" s="2" t="s">
        <v>85</v>
      </c>
    </row>
    <row r="10">
      <c r="A10" s="2"/>
      <c r="B10" s="127"/>
      <c r="C10" s="127"/>
      <c r="G10" s="8"/>
      <c r="H10" s="8"/>
    </row>
    <row r="11">
      <c r="A11" s="5" t="s">
        <v>741</v>
      </c>
      <c r="B11" s="128">
        <f t="shared" ref="B11:C11" si="3">SUM(B2:B10)</f>
        <v>1838.0195</v>
      </c>
      <c r="C11" s="128">
        <f t="shared" si="3"/>
        <v>919.00975</v>
      </c>
      <c r="D11" s="50"/>
      <c r="E11" s="50"/>
      <c r="F11" s="5" t="s">
        <v>741</v>
      </c>
      <c r="G11" s="128">
        <f t="shared" ref="G11:H11" si="4">SUM(G2:G10)</f>
        <v>45699.9</v>
      </c>
      <c r="H11" s="128">
        <f t="shared" si="4"/>
        <v>22849.95</v>
      </c>
      <c r="K11" s="54"/>
      <c r="L11" s="58"/>
    </row>
    <row r="12">
      <c r="A12" s="129" t="s">
        <v>27</v>
      </c>
      <c r="B12" s="130">
        <f>CEILING(SUM(B2:B10), 100)</f>
        <v>1900</v>
      </c>
      <c r="C12" s="130">
        <f>CEILING(SUM(C2:C10), 100)</f>
        <v>1000</v>
      </c>
      <c r="D12" s="50"/>
      <c r="E12" s="50"/>
      <c r="F12" s="129" t="s">
        <v>96</v>
      </c>
      <c r="G12" s="49">
        <f t="shared" ref="G12:H12" si="5">CEILING(SUM(G2:G10), 100)</f>
        <v>45700</v>
      </c>
      <c r="H12" s="49">
        <f t="shared" si="5"/>
        <v>22900</v>
      </c>
      <c r="K12" s="54" t="s">
        <v>1</v>
      </c>
      <c r="L12" s="58">
        <f>L13*2</f>
        <v>130000</v>
      </c>
    </row>
    <row r="13">
      <c r="B13" s="127"/>
      <c r="C13" s="127"/>
      <c r="F13" s="2"/>
      <c r="G13" s="8"/>
      <c r="H13" s="8"/>
      <c r="K13" s="2" t="s">
        <v>742</v>
      </c>
      <c r="L13" s="7">
        <v>65000.0</v>
      </c>
    </row>
    <row r="14">
      <c r="B14" s="127"/>
      <c r="C14" s="127"/>
      <c r="G14" s="8"/>
      <c r="H14" s="8"/>
    </row>
    <row r="15">
      <c r="B15" s="127"/>
      <c r="C15" s="127"/>
      <c r="G15" s="8"/>
      <c r="H15" s="8"/>
    </row>
    <row r="16">
      <c r="A16" s="29" t="s">
        <v>743</v>
      </c>
      <c r="B16" s="131"/>
      <c r="C16" s="131"/>
      <c r="D16" s="123"/>
      <c r="E16" s="123"/>
      <c r="F16" s="29" t="s">
        <v>744</v>
      </c>
      <c r="G16" s="132"/>
      <c r="H16" s="132"/>
      <c r="K16" s="2" t="s">
        <v>745</v>
      </c>
      <c r="L16" s="127">
        <f>B12+G12+B28+G28</f>
        <v>118200</v>
      </c>
    </row>
    <row r="17">
      <c r="A17" s="2" t="s">
        <v>746</v>
      </c>
      <c r="B17" s="127">
        <f>530/12</f>
        <v>44.16666667</v>
      </c>
      <c r="C17" s="126">
        <f t="shared" ref="C17:C18" si="6">B17/2</f>
        <v>22.08333333</v>
      </c>
      <c r="D17" s="2" t="s">
        <v>734</v>
      </c>
      <c r="F17" s="2" t="s">
        <v>82</v>
      </c>
      <c r="G17" s="7">
        <v>13500.0</v>
      </c>
      <c r="H17" s="7">
        <f t="shared" ref="H17:H19" si="7">G17/2</f>
        <v>6750</v>
      </c>
      <c r="I17" s="2" t="s">
        <v>166</v>
      </c>
      <c r="K17" s="2" t="s">
        <v>747</v>
      </c>
      <c r="L17" s="127">
        <f>L16/2</f>
        <v>59100</v>
      </c>
    </row>
    <row r="18">
      <c r="A18" s="2" t="s">
        <v>62</v>
      </c>
      <c r="B18" s="127">
        <f>2500/12</f>
        <v>208.3333333</v>
      </c>
      <c r="C18" s="126">
        <f t="shared" si="6"/>
        <v>104.1666667</v>
      </c>
      <c r="D18" s="2" t="s">
        <v>734</v>
      </c>
      <c r="F18" s="2" t="s">
        <v>12</v>
      </c>
      <c r="G18" s="7">
        <f>7520+1600+600</f>
        <v>9720</v>
      </c>
      <c r="H18" s="7">
        <f t="shared" si="7"/>
        <v>4860</v>
      </c>
      <c r="I18" s="2" t="s">
        <v>166</v>
      </c>
    </row>
    <row r="19">
      <c r="A19" s="2" t="s">
        <v>63</v>
      </c>
      <c r="B19" s="8">
        <f>(600*2)/12</f>
        <v>100</v>
      </c>
      <c r="C19" s="8">
        <f>B19/2</f>
        <v>50</v>
      </c>
      <c r="D19" s="2" t="s">
        <v>726</v>
      </c>
      <c r="F19" s="2" t="s">
        <v>15</v>
      </c>
      <c r="G19" s="7">
        <f>7124+(1600+600)</f>
        <v>9324</v>
      </c>
      <c r="H19" s="8">
        <f t="shared" si="7"/>
        <v>4662</v>
      </c>
      <c r="I19" s="2" t="s">
        <v>166</v>
      </c>
      <c r="K19" s="129" t="s">
        <v>748</v>
      </c>
      <c r="L19" s="49">
        <f>L13-L17</f>
        <v>5900</v>
      </c>
    </row>
    <row r="20">
      <c r="A20" s="2" t="s">
        <v>73</v>
      </c>
      <c r="B20" s="126">
        <v>650.0</v>
      </c>
      <c r="C20" s="126">
        <f t="shared" ref="C20:C25" si="8">B20/2</f>
        <v>325</v>
      </c>
      <c r="D20" s="2" t="s">
        <v>169</v>
      </c>
      <c r="G20" s="7"/>
      <c r="H20" s="7"/>
      <c r="I20" s="2" t="s">
        <v>726</v>
      </c>
    </row>
    <row r="21">
      <c r="A21" s="2" t="s">
        <v>749</v>
      </c>
      <c r="B21" s="126">
        <v>400.0</v>
      </c>
      <c r="C21" s="126">
        <f t="shared" si="8"/>
        <v>200</v>
      </c>
      <c r="D21" s="2" t="s">
        <v>176</v>
      </c>
      <c r="F21" s="2" t="s">
        <v>750</v>
      </c>
      <c r="G21" s="7">
        <v>8000.0</v>
      </c>
      <c r="H21" s="7">
        <f t="shared" ref="H21:H24" si="9">G21/2</f>
        <v>4000</v>
      </c>
      <c r="I21" s="2" t="s">
        <v>726</v>
      </c>
    </row>
    <row r="22">
      <c r="A22" s="2" t="s">
        <v>751</v>
      </c>
      <c r="B22" s="126">
        <v>1200.0</v>
      </c>
      <c r="C22" s="126">
        <f t="shared" si="8"/>
        <v>600</v>
      </c>
      <c r="D22" s="2" t="s">
        <v>176</v>
      </c>
      <c r="F22" s="2" t="s">
        <v>183</v>
      </c>
      <c r="G22" s="7">
        <v>8000.0</v>
      </c>
      <c r="H22" s="7">
        <f t="shared" si="9"/>
        <v>4000</v>
      </c>
      <c r="I22" s="2" t="s">
        <v>183</v>
      </c>
    </row>
    <row r="23">
      <c r="A23" s="2" t="s">
        <v>77</v>
      </c>
      <c r="B23" s="126">
        <v>200.0</v>
      </c>
      <c r="C23" s="126">
        <f t="shared" si="8"/>
        <v>100</v>
      </c>
      <c r="D23" s="2" t="s">
        <v>169</v>
      </c>
      <c r="F23" s="2" t="s">
        <v>194</v>
      </c>
      <c r="G23" s="7">
        <v>14000.0</v>
      </c>
      <c r="H23" s="7">
        <f t="shared" si="9"/>
        <v>7000</v>
      </c>
      <c r="I23" s="23"/>
    </row>
    <row r="24">
      <c r="A24" s="2" t="s">
        <v>752</v>
      </c>
      <c r="B24" s="126">
        <v>499.0</v>
      </c>
      <c r="C24" s="126">
        <f t="shared" si="8"/>
        <v>249.5</v>
      </c>
      <c r="D24" s="2" t="s">
        <v>176</v>
      </c>
      <c r="F24" s="2" t="s">
        <v>57</v>
      </c>
      <c r="G24" s="7">
        <v>4000.0</v>
      </c>
      <c r="H24" s="7">
        <f t="shared" si="9"/>
        <v>2000</v>
      </c>
      <c r="I24" s="23"/>
    </row>
    <row r="25">
      <c r="A25" s="2" t="s">
        <v>753</v>
      </c>
      <c r="B25" s="126">
        <f>499+199</f>
        <v>698</v>
      </c>
      <c r="C25" s="126">
        <f t="shared" si="8"/>
        <v>349</v>
      </c>
      <c r="D25" s="2" t="s">
        <v>176</v>
      </c>
      <c r="G25" s="8"/>
      <c r="H25" s="8"/>
      <c r="I25" s="23"/>
    </row>
    <row r="26">
      <c r="A26" s="129"/>
      <c r="B26" s="130"/>
      <c r="C26" s="130"/>
      <c r="D26" s="50"/>
      <c r="E26" s="50"/>
      <c r="F26" s="129"/>
      <c r="G26" s="49"/>
      <c r="H26" s="49"/>
      <c r="M26" s="133"/>
    </row>
    <row r="27">
      <c r="A27" s="5" t="s">
        <v>741</v>
      </c>
      <c r="B27" s="128">
        <f t="shared" ref="B27:C27" si="10">SUM(B18:B26)</f>
        <v>3955.333333</v>
      </c>
      <c r="C27" s="128">
        <f t="shared" si="10"/>
        <v>1977.666667</v>
      </c>
      <c r="D27" s="50"/>
      <c r="E27" s="50"/>
      <c r="F27" s="5" t="s">
        <v>741</v>
      </c>
      <c r="G27" s="128">
        <f t="shared" ref="G27:H27" si="11">SUM(G17:G26)</f>
        <v>66544</v>
      </c>
      <c r="H27" s="128">
        <f t="shared" si="11"/>
        <v>33272</v>
      </c>
      <c r="M27" s="133"/>
    </row>
    <row r="28">
      <c r="A28" s="129" t="s">
        <v>27</v>
      </c>
      <c r="B28" s="130">
        <f t="shared" ref="B28:C28" si="12">CEILING(SUM(B17:B25), 100)</f>
        <v>4000</v>
      </c>
      <c r="C28" s="130">
        <f t="shared" si="12"/>
        <v>2000</v>
      </c>
      <c r="D28" s="50"/>
      <c r="E28" s="50"/>
      <c r="F28" s="129" t="s">
        <v>27</v>
      </c>
      <c r="G28" s="49">
        <f t="shared" ref="G28:H28" si="13">CEILING(SUM(G17:G25), 100)</f>
        <v>66600</v>
      </c>
      <c r="H28" s="49">
        <f t="shared" si="13"/>
        <v>33300</v>
      </c>
      <c r="K28" s="8">
        <f>H18+H19</f>
        <v>9522</v>
      </c>
      <c r="M28" s="133"/>
    </row>
    <row r="29">
      <c r="B29" s="127"/>
      <c r="C29" s="127"/>
      <c r="G29" s="8"/>
      <c r="H29" s="8"/>
      <c r="K29" s="8">
        <f>H6+H17+K28</f>
        <v>32522</v>
      </c>
      <c r="L29" s="8"/>
    </row>
    <row r="30">
      <c r="B30" s="127"/>
      <c r="C30" s="127"/>
      <c r="G30" s="8"/>
      <c r="H30" s="8"/>
      <c r="L30" s="8"/>
    </row>
    <row r="31">
      <c r="B31" s="127"/>
      <c r="C31" s="127"/>
      <c r="F31" s="2" t="s">
        <v>5</v>
      </c>
      <c r="G31" s="7" t="s">
        <v>4</v>
      </c>
      <c r="H31" s="8"/>
      <c r="L31" s="8"/>
    </row>
    <row r="32">
      <c r="B32" s="127"/>
      <c r="C32" s="127"/>
      <c r="D32" s="23" t="str">
        <f t="shared" ref="D32:D37" si="14">M3</f>
        <v>Santander</v>
      </c>
      <c r="F32" s="8">
        <f>CEILING(SUMIF($D1:$D26, M3, $C1:$C26) + SUMIF($I1:$I26, M3,$H1:$H26),100)</f>
        <v>32600</v>
      </c>
      <c r="G32" s="8">
        <f>CEILING(SUMIF($D1:$D26, M3, $B1:$B26) + SUMIF($I1:$I26, M3,$G1:$G26),100)</f>
        <v>65100</v>
      </c>
      <c r="H32" s="8"/>
      <c r="K32" s="8">
        <f>K29-21000</f>
        <v>11522</v>
      </c>
      <c r="L32" s="8"/>
    </row>
    <row r="33">
      <c r="B33" s="127"/>
      <c r="C33" s="127"/>
      <c r="D33" s="23" t="str">
        <f t="shared" si="14"/>
        <v>Nu</v>
      </c>
      <c r="F33" s="8">
        <f>CEILING(SUMIF($D1:$D26, M4, $C1:$C26) + SUMIF($I1:$I26, M4,$H1:$H26),100)</f>
        <v>3600</v>
      </c>
      <c r="G33" s="8">
        <f>CEILING(SUMIF($D1:$D26, M4, $B1:$B26) + SUMIF($I1:$I26, M4,$G1:$G26),100)</f>
        <v>7100</v>
      </c>
      <c r="H33" s="8"/>
      <c r="L33" s="8"/>
    </row>
    <row r="34">
      <c r="B34" s="127"/>
      <c r="C34" s="127"/>
      <c r="D34" s="23" t="str">
        <f t="shared" si="14"/>
        <v>GBM</v>
      </c>
      <c r="F34" s="8">
        <f>CEILING(SUMIF($D1:$D26, M5, $C1:$C26) + SUMIF($I1:$I26, M5,$H1:$H26),100)</f>
        <v>4100</v>
      </c>
      <c r="G34" s="8">
        <f>CEILING(SUMIF($D1:$D26, M5, $B1:$B26) + SUMIF($I1:$I26, M5,$G1:$G26),100)</f>
        <v>8100</v>
      </c>
      <c r="H34" s="8"/>
      <c r="L34" s="8"/>
    </row>
    <row r="35">
      <c r="B35" s="127"/>
      <c r="C35" s="127"/>
      <c r="D35" s="23" t="str">
        <f t="shared" si="14"/>
        <v>Finamex</v>
      </c>
      <c r="F35" s="8">
        <f>CEILING(SUMIF($D1:$D26, M6, $C1:$C26) + SUMIF($I1:$I26, M6,$H1:$H26),100)</f>
        <v>1100</v>
      </c>
      <c r="G35" s="8">
        <f>CEILING(SUMIF($D1:$D26, M6, $B1:$B26) + SUMIF($I1:$I26, M6,$G1:$G26),100)</f>
        <v>2100</v>
      </c>
      <c r="H35" s="8"/>
    </row>
    <row r="36">
      <c r="B36" s="127"/>
      <c r="C36" s="127"/>
      <c r="D36" s="23" t="str">
        <f t="shared" si="14"/>
        <v>BBVA</v>
      </c>
      <c r="F36" s="8">
        <f>CEILING(SUMIF($D1:$D26, M7, $C1:$C26) + SUMIF($I1:$I26, M7,$H1:$H26),100)</f>
        <v>2300</v>
      </c>
      <c r="G36" s="8">
        <f>CEILING(SUMIF($D1:$D26, M7, $B1:$B26) + SUMIF($I1:$I26, M7,$G1:$G26),100)</f>
        <v>4500</v>
      </c>
      <c r="H36" s="8"/>
    </row>
    <row r="37">
      <c r="B37" s="127"/>
      <c r="C37" s="127"/>
      <c r="D37" s="23" t="str">
        <f t="shared" si="14"/>
        <v>Cetes</v>
      </c>
      <c r="F37" s="8">
        <f>CEILING(SUMIF($D1:$D26, M8, $C1:$C26) + SUMIF($I1:$I26, M8,$H1:$H26),100)</f>
        <v>4000</v>
      </c>
      <c r="G37" s="8">
        <f>CEILING(SUMIF($D1:$D26, M8, $B1:$B26) + SUMIF($I1:$I26, M8,$G1:$G26),100)</f>
        <v>8000</v>
      </c>
      <c r="H37" s="8"/>
    </row>
    <row r="38">
      <c r="B38" s="127"/>
      <c r="C38" s="127"/>
      <c r="D38" s="2" t="s">
        <v>85</v>
      </c>
      <c r="F38" s="8">
        <f>CEILING(SUMIF($D1:$D26, M9, $C1:$C26) + SUMIF($I1:$I26, M9,$H1:$H26),100)</f>
        <v>2700</v>
      </c>
      <c r="G38" s="8">
        <f>CEILING(SUMIF($D1:$D26, M9, $B1:$B26) + SUMIF($I1:$I26, M9,$G1:$G26),100)</f>
        <v>5400</v>
      </c>
      <c r="H38" s="8"/>
    </row>
    <row r="39">
      <c r="B39" s="127"/>
      <c r="C39" s="127"/>
      <c r="F39" s="134"/>
      <c r="G39" s="8"/>
      <c r="H39" s="8"/>
    </row>
    <row r="40">
      <c r="B40" s="127"/>
      <c r="C40" s="127"/>
      <c r="F40" s="8"/>
      <c r="G40" s="8"/>
      <c r="H40" s="8"/>
    </row>
    <row r="41">
      <c r="B41" s="127"/>
      <c r="C41" s="127"/>
      <c r="F41" s="8">
        <f t="shared" ref="F41:G41" si="15">SUM(F32:F38)</f>
        <v>50400</v>
      </c>
      <c r="G41" s="8">
        <f t="shared" si="15"/>
        <v>100300</v>
      </c>
      <c r="H41" s="8"/>
    </row>
    <row r="42">
      <c r="B42" s="127"/>
      <c r="C42" s="127"/>
      <c r="F42" s="8"/>
      <c r="G42" s="7"/>
      <c r="H42" s="8"/>
    </row>
    <row r="43">
      <c r="B43" s="127"/>
      <c r="C43" s="127"/>
      <c r="G43" s="7"/>
      <c r="H43" s="8"/>
    </row>
    <row r="44">
      <c r="B44" s="127"/>
      <c r="C44" s="127"/>
      <c r="G44" s="7"/>
      <c r="H44" s="8"/>
      <c r="J44" s="135"/>
    </row>
    <row r="45">
      <c r="B45" s="127"/>
      <c r="C45" s="127"/>
      <c r="G45" s="7"/>
      <c r="H45" s="8"/>
    </row>
    <row r="46">
      <c r="B46" s="127"/>
      <c r="C46" s="127"/>
      <c r="G46" s="8"/>
    </row>
    <row r="47">
      <c r="B47" s="127"/>
      <c r="C47" s="127"/>
      <c r="G47" s="8"/>
      <c r="H47" s="8"/>
    </row>
    <row r="48">
      <c r="B48" s="127"/>
      <c r="C48" s="127"/>
      <c r="G48" s="8"/>
      <c r="H48" s="8"/>
    </row>
    <row r="49">
      <c r="B49" s="127"/>
      <c r="C49" s="127"/>
      <c r="G49" s="8"/>
      <c r="H49" s="8"/>
    </row>
    <row r="50">
      <c r="B50" s="127"/>
      <c r="C50" s="127"/>
      <c r="G50" s="8"/>
      <c r="H50" s="8"/>
    </row>
    <row r="51">
      <c r="B51" s="127"/>
      <c r="C51" s="127"/>
      <c r="G51" s="8"/>
      <c r="H51" s="8"/>
    </row>
    <row r="52">
      <c r="B52" s="127"/>
      <c r="C52" s="127"/>
      <c r="G52" s="8"/>
      <c r="H52" s="8"/>
    </row>
    <row r="53">
      <c r="B53" s="127"/>
      <c r="C53" s="127"/>
      <c r="G53" s="8"/>
      <c r="H53" s="8"/>
    </row>
    <row r="54">
      <c r="B54" s="127"/>
      <c r="C54" s="127"/>
      <c r="G54" s="8"/>
      <c r="H54" s="8"/>
    </row>
    <row r="55">
      <c r="B55" s="127"/>
      <c r="C55" s="127"/>
      <c r="G55" s="8"/>
      <c r="H55" s="8"/>
    </row>
    <row r="56">
      <c r="B56" s="127"/>
      <c r="C56" s="127"/>
      <c r="G56" s="8"/>
      <c r="H56" s="8"/>
    </row>
    <row r="57">
      <c r="B57" s="127"/>
      <c r="C57" s="127"/>
      <c r="G57" s="8"/>
      <c r="H57" s="8"/>
    </row>
    <row r="58">
      <c r="B58" s="127"/>
      <c r="C58" s="127"/>
      <c r="G58" s="8"/>
      <c r="H58" s="8"/>
    </row>
    <row r="59">
      <c r="B59" s="127"/>
      <c r="C59" s="127"/>
      <c r="G59" s="8"/>
      <c r="H59" s="8"/>
    </row>
    <row r="60">
      <c r="B60" s="127"/>
      <c r="C60" s="127"/>
      <c r="G60" s="8"/>
      <c r="H60" s="8"/>
    </row>
    <row r="61">
      <c r="B61" s="127"/>
      <c r="C61" s="127"/>
      <c r="G61" s="8"/>
      <c r="H61" s="8"/>
    </row>
    <row r="62">
      <c r="B62" s="127"/>
      <c r="C62" s="127"/>
      <c r="G62" s="8"/>
      <c r="H62" s="8"/>
    </row>
    <row r="63">
      <c r="B63" s="127"/>
      <c r="C63" s="127"/>
      <c r="G63" s="8"/>
      <c r="H63" s="8"/>
    </row>
    <row r="64">
      <c r="B64" s="127"/>
      <c r="C64" s="127"/>
      <c r="G64" s="8"/>
      <c r="H64" s="8"/>
    </row>
    <row r="65">
      <c r="B65" s="127"/>
      <c r="C65" s="127"/>
      <c r="G65" s="8"/>
      <c r="H65" s="8"/>
    </row>
    <row r="66">
      <c r="B66" s="127"/>
      <c r="C66" s="127"/>
      <c r="G66" s="8"/>
      <c r="H66" s="8"/>
    </row>
    <row r="67">
      <c r="B67" s="127"/>
      <c r="C67" s="127"/>
      <c r="G67" s="8"/>
      <c r="H67" s="8"/>
    </row>
    <row r="68">
      <c r="B68" s="127"/>
      <c r="C68" s="127"/>
      <c r="G68" s="8"/>
      <c r="H68" s="8"/>
    </row>
    <row r="69">
      <c r="B69" s="127"/>
      <c r="C69" s="127"/>
      <c r="G69" s="8"/>
      <c r="H69" s="8"/>
    </row>
    <row r="70">
      <c r="B70" s="127"/>
      <c r="C70" s="127"/>
      <c r="G70" s="8"/>
      <c r="H70" s="8"/>
    </row>
    <row r="71">
      <c r="B71" s="127"/>
      <c r="C71" s="127"/>
      <c r="G71" s="8"/>
      <c r="H71" s="8"/>
    </row>
    <row r="72">
      <c r="B72" s="127"/>
      <c r="C72" s="127"/>
      <c r="G72" s="8"/>
      <c r="H72" s="8"/>
    </row>
    <row r="73">
      <c r="B73" s="127"/>
      <c r="C73" s="127"/>
      <c r="G73" s="8"/>
      <c r="H73" s="8"/>
    </row>
    <row r="74">
      <c r="B74" s="127"/>
      <c r="C74" s="127"/>
      <c r="G74" s="8"/>
      <c r="H74" s="8"/>
    </row>
    <row r="75">
      <c r="B75" s="127"/>
      <c r="C75" s="127"/>
      <c r="G75" s="8"/>
      <c r="H75" s="8"/>
    </row>
    <row r="76">
      <c r="B76" s="127"/>
      <c r="C76" s="127"/>
      <c r="G76" s="8"/>
      <c r="H76" s="8"/>
    </row>
    <row r="77">
      <c r="B77" s="127"/>
      <c r="C77" s="127"/>
      <c r="G77" s="8"/>
      <c r="H77" s="8"/>
    </row>
    <row r="78">
      <c r="B78" s="127"/>
      <c r="C78" s="127"/>
      <c r="G78" s="8"/>
      <c r="H78" s="8"/>
    </row>
    <row r="79">
      <c r="B79" s="127"/>
      <c r="C79" s="127"/>
      <c r="G79" s="8"/>
      <c r="H79" s="8"/>
    </row>
    <row r="80">
      <c r="B80" s="127"/>
      <c r="C80" s="127"/>
      <c r="G80" s="8"/>
      <c r="H80" s="8"/>
    </row>
    <row r="81">
      <c r="B81" s="127"/>
      <c r="C81" s="127"/>
      <c r="G81" s="8"/>
      <c r="H81" s="8"/>
    </row>
    <row r="82">
      <c r="B82" s="127"/>
      <c r="C82" s="127"/>
      <c r="G82" s="8"/>
      <c r="H82" s="8"/>
    </row>
    <row r="83">
      <c r="B83" s="127"/>
      <c r="C83" s="127"/>
      <c r="G83" s="8"/>
      <c r="H83" s="8"/>
    </row>
    <row r="84">
      <c r="B84" s="127"/>
      <c r="C84" s="127"/>
      <c r="G84" s="8"/>
      <c r="H84" s="8"/>
    </row>
    <row r="85">
      <c r="B85" s="127"/>
      <c r="C85" s="127"/>
      <c r="G85" s="8"/>
      <c r="H85" s="8"/>
    </row>
    <row r="86">
      <c r="B86" s="127"/>
      <c r="C86" s="127"/>
      <c r="G86" s="8"/>
      <c r="H86" s="8"/>
    </row>
    <row r="87">
      <c r="B87" s="127"/>
      <c r="C87" s="127"/>
      <c r="G87" s="8"/>
      <c r="H87" s="8"/>
    </row>
    <row r="88">
      <c r="B88" s="127"/>
      <c r="C88" s="127"/>
      <c r="G88" s="8"/>
      <c r="H88" s="8"/>
    </row>
    <row r="89">
      <c r="B89" s="127"/>
      <c r="C89" s="127"/>
      <c r="G89" s="8"/>
      <c r="H89" s="8"/>
    </row>
    <row r="90">
      <c r="B90" s="127"/>
      <c r="C90" s="127"/>
      <c r="G90" s="8"/>
      <c r="H90" s="8"/>
    </row>
    <row r="91">
      <c r="B91" s="127"/>
      <c r="C91" s="127"/>
      <c r="G91" s="8"/>
      <c r="H91" s="8"/>
    </row>
    <row r="92">
      <c r="B92" s="127"/>
      <c r="C92" s="127"/>
      <c r="G92" s="8"/>
      <c r="H92" s="8"/>
    </row>
    <row r="93">
      <c r="B93" s="127"/>
      <c r="C93" s="127"/>
      <c r="G93" s="8"/>
      <c r="H93" s="8"/>
    </row>
    <row r="94">
      <c r="B94" s="127"/>
      <c r="C94" s="127"/>
      <c r="G94" s="8"/>
      <c r="H94" s="8"/>
    </row>
    <row r="95">
      <c r="B95" s="127"/>
      <c r="C95" s="127"/>
      <c r="G95" s="8"/>
      <c r="H95" s="8"/>
    </row>
    <row r="96">
      <c r="B96" s="127"/>
      <c r="C96" s="127"/>
      <c r="G96" s="8"/>
      <c r="H96" s="8"/>
    </row>
    <row r="97">
      <c r="B97" s="127"/>
      <c r="C97" s="127"/>
      <c r="G97" s="8"/>
      <c r="H97" s="8"/>
    </row>
    <row r="98">
      <c r="B98" s="127"/>
      <c r="C98" s="127"/>
      <c r="G98" s="8"/>
      <c r="H98" s="8"/>
    </row>
    <row r="99">
      <c r="B99" s="127"/>
      <c r="C99" s="127"/>
      <c r="G99" s="8"/>
      <c r="H99" s="8"/>
    </row>
    <row r="100">
      <c r="B100" s="127"/>
      <c r="C100" s="127"/>
      <c r="G100" s="8"/>
      <c r="H100" s="8"/>
    </row>
    <row r="101">
      <c r="B101" s="127"/>
      <c r="C101" s="127"/>
      <c r="G101" s="8"/>
      <c r="H101" s="8"/>
    </row>
    <row r="102">
      <c r="B102" s="127"/>
      <c r="C102" s="127"/>
      <c r="G102" s="8"/>
      <c r="H102" s="8"/>
    </row>
    <row r="103">
      <c r="B103" s="127"/>
      <c r="C103" s="127"/>
      <c r="G103" s="8"/>
      <c r="H103" s="8"/>
    </row>
    <row r="104">
      <c r="B104" s="127"/>
      <c r="C104" s="127"/>
      <c r="G104" s="8"/>
      <c r="H104" s="8"/>
    </row>
    <row r="105">
      <c r="B105" s="127"/>
      <c r="C105" s="127"/>
      <c r="G105" s="8"/>
      <c r="H105" s="8"/>
    </row>
    <row r="106">
      <c r="B106" s="127"/>
      <c r="C106" s="127"/>
      <c r="G106" s="8"/>
      <c r="H106" s="8"/>
    </row>
    <row r="107">
      <c r="B107" s="127"/>
      <c r="C107" s="127"/>
      <c r="G107" s="8"/>
      <c r="H107" s="8"/>
    </row>
    <row r="108">
      <c r="B108" s="127"/>
      <c r="C108" s="127"/>
      <c r="G108" s="8"/>
      <c r="H108" s="8"/>
    </row>
    <row r="109">
      <c r="B109" s="127"/>
      <c r="C109" s="127"/>
      <c r="G109" s="8"/>
      <c r="H109" s="8"/>
    </row>
    <row r="110">
      <c r="B110" s="127"/>
      <c r="C110" s="127"/>
      <c r="G110" s="8"/>
      <c r="H110" s="8"/>
    </row>
    <row r="111">
      <c r="B111" s="127"/>
      <c r="C111" s="127"/>
      <c r="G111" s="8"/>
      <c r="H111" s="8"/>
    </row>
    <row r="112">
      <c r="B112" s="127"/>
      <c r="C112" s="127"/>
      <c r="G112" s="8"/>
      <c r="H112" s="8"/>
    </row>
    <row r="113">
      <c r="B113" s="127"/>
      <c r="C113" s="127"/>
      <c r="G113" s="8"/>
      <c r="H113" s="8"/>
    </row>
    <row r="114">
      <c r="B114" s="127"/>
      <c r="C114" s="127"/>
      <c r="G114" s="8"/>
      <c r="H114" s="8"/>
    </row>
    <row r="115">
      <c r="B115" s="127"/>
      <c r="C115" s="127"/>
      <c r="G115" s="8"/>
      <c r="H115" s="8"/>
    </row>
    <row r="116">
      <c r="B116" s="127"/>
      <c r="C116" s="127"/>
      <c r="G116" s="8"/>
      <c r="H116" s="8"/>
    </row>
    <row r="117">
      <c r="B117" s="127"/>
      <c r="C117" s="127"/>
      <c r="G117" s="8"/>
      <c r="H117" s="8"/>
    </row>
    <row r="118">
      <c r="B118" s="127"/>
      <c r="C118" s="127"/>
      <c r="G118" s="8"/>
      <c r="H118" s="8"/>
    </row>
    <row r="119">
      <c r="B119" s="127"/>
      <c r="C119" s="127"/>
      <c r="G119" s="8"/>
      <c r="H119" s="8"/>
    </row>
    <row r="120">
      <c r="B120" s="127"/>
      <c r="C120" s="127"/>
      <c r="G120" s="8"/>
      <c r="H120" s="8"/>
    </row>
    <row r="121">
      <c r="B121" s="127"/>
      <c r="C121" s="127"/>
      <c r="G121" s="8"/>
      <c r="H121" s="8"/>
    </row>
    <row r="122">
      <c r="B122" s="127"/>
      <c r="C122" s="127"/>
      <c r="G122" s="8"/>
      <c r="H122" s="8"/>
    </row>
    <row r="123">
      <c r="B123" s="127"/>
      <c r="C123" s="127"/>
      <c r="G123" s="8"/>
      <c r="H123" s="8"/>
    </row>
    <row r="124">
      <c r="B124" s="127"/>
      <c r="C124" s="127"/>
      <c r="G124" s="8"/>
      <c r="H124" s="8"/>
    </row>
    <row r="125">
      <c r="B125" s="127"/>
      <c r="C125" s="127"/>
      <c r="G125" s="8"/>
      <c r="H125" s="8"/>
    </row>
    <row r="126">
      <c r="B126" s="127"/>
      <c r="C126" s="127"/>
      <c r="G126" s="8"/>
      <c r="H126" s="8"/>
    </row>
    <row r="127">
      <c r="B127" s="127"/>
      <c r="C127" s="127"/>
      <c r="G127" s="8"/>
      <c r="H127" s="8"/>
    </row>
    <row r="128">
      <c r="B128" s="127"/>
      <c r="C128" s="127"/>
      <c r="G128" s="8"/>
      <c r="H128" s="8"/>
    </row>
    <row r="129">
      <c r="B129" s="127"/>
      <c r="C129" s="127"/>
      <c r="G129" s="8"/>
      <c r="H129" s="8"/>
    </row>
    <row r="130">
      <c r="B130" s="127"/>
      <c r="C130" s="127"/>
      <c r="G130" s="8"/>
      <c r="H130" s="8"/>
    </row>
    <row r="131">
      <c r="B131" s="127"/>
      <c r="C131" s="127"/>
      <c r="G131" s="8"/>
      <c r="H131" s="8"/>
    </row>
    <row r="132">
      <c r="B132" s="127"/>
      <c r="C132" s="127"/>
      <c r="G132" s="8"/>
      <c r="H132" s="8"/>
    </row>
    <row r="133">
      <c r="B133" s="127"/>
      <c r="C133" s="127"/>
      <c r="G133" s="8"/>
      <c r="H133" s="8"/>
    </row>
    <row r="134">
      <c r="B134" s="127"/>
      <c r="C134" s="127"/>
      <c r="G134" s="8"/>
      <c r="H134" s="8"/>
    </row>
    <row r="135">
      <c r="B135" s="127"/>
      <c r="C135" s="127"/>
      <c r="G135" s="8"/>
      <c r="H135" s="8"/>
    </row>
    <row r="136">
      <c r="B136" s="127"/>
      <c r="C136" s="127"/>
      <c r="G136" s="8"/>
      <c r="H136" s="8"/>
    </row>
    <row r="137">
      <c r="B137" s="127"/>
      <c r="C137" s="127"/>
      <c r="G137" s="8"/>
      <c r="H137" s="8"/>
    </row>
    <row r="138">
      <c r="B138" s="127"/>
      <c r="C138" s="127"/>
      <c r="G138" s="8"/>
      <c r="H138" s="8"/>
    </row>
    <row r="139">
      <c r="B139" s="127"/>
      <c r="C139" s="127"/>
      <c r="G139" s="8"/>
      <c r="H139" s="8"/>
    </row>
    <row r="140">
      <c r="B140" s="127"/>
      <c r="C140" s="127"/>
      <c r="G140" s="8"/>
      <c r="H140" s="8"/>
    </row>
    <row r="141">
      <c r="B141" s="127"/>
      <c r="C141" s="127"/>
      <c r="G141" s="8"/>
      <c r="H141" s="8"/>
    </row>
    <row r="142">
      <c r="B142" s="127"/>
      <c r="C142" s="127"/>
      <c r="G142" s="8"/>
      <c r="H142" s="8"/>
    </row>
    <row r="143">
      <c r="B143" s="127"/>
      <c r="C143" s="127"/>
      <c r="G143" s="8"/>
      <c r="H143" s="8"/>
    </row>
    <row r="144">
      <c r="B144" s="127"/>
      <c r="C144" s="127"/>
      <c r="G144" s="8"/>
      <c r="H144" s="8"/>
    </row>
    <row r="145">
      <c r="B145" s="127"/>
      <c r="C145" s="127"/>
      <c r="G145" s="8"/>
      <c r="H145" s="8"/>
    </row>
    <row r="146">
      <c r="B146" s="127"/>
      <c r="C146" s="127"/>
      <c r="G146" s="8"/>
      <c r="H146" s="8"/>
    </row>
    <row r="147">
      <c r="B147" s="127"/>
      <c r="C147" s="127"/>
      <c r="G147" s="8"/>
      <c r="H147" s="8"/>
    </row>
    <row r="148">
      <c r="B148" s="127"/>
      <c r="C148" s="127"/>
      <c r="G148" s="8"/>
      <c r="H148" s="8"/>
    </row>
    <row r="149">
      <c r="B149" s="127"/>
      <c r="C149" s="127"/>
      <c r="G149" s="8"/>
      <c r="H149" s="8"/>
    </row>
    <row r="150">
      <c r="B150" s="127"/>
      <c r="C150" s="127"/>
      <c r="G150" s="8"/>
      <c r="H150" s="8"/>
    </row>
    <row r="151">
      <c r="B151" s="127"/>
      <c r="C151" s="127"/>
      <c r="G151" s="8"/>
      <c r="H151" s="8"/>
    </row>
    <row r="152">
      <c r="B152" s="127"/>
      <c r="C152" s="127"/>
      <c r="G152" s="8"/>
      <c r="H152" s="8"/>
    </row>
    <row r="153">
      <c r="B153" s="127"/>
      <c r="C153" s="127"/>
      <c r="G153" s="8"/>
      <c r="H153" s="8"/>
    </row>
    <row r="154">
      <c r="B154" s="127"/>
      <c r="C154" s="127"/>
      <c r="G154" s="8"/>
      <c r="H154" s="8"/>
    </row>
    <row r="155">
      <c r="B155" s="127"/>
      <c r="C155" s="127"/>
      <c r="G155" s="8"/>
      <c r="H155" s="8"/>
    </row>
    <row r="156">
      <c r="B156" s="127"/>
      <c r="C156" s="127"/>
      <c r="G156" s="8"/>
      <c r="H156" s="8"/>
    </row>
    <row r="157">
      <c r="B157" s="127"/>
      <c r="C157" s="127"/>
      <c r="G157" s="8"/>
      <c r="H157" s="8"/>
    </row>
    <row r="158">
      <c r="B158" s="127"/>
      <c r="C158" s="127"/>
      <c r="G158" s="8"/>
      <c r="H158" s="8"/>
    </row>
    <row r="159">
      <c r="B159" s="127"/>
      <c r="C159" s="127"/>
      <c r="G159" s="8"/>
      <c r="H159" s="8"/>
    </row>
    <row r="160">
      <c r="B160" s="127"/>
      <c r="C160" s="127"/>
      <c r="G160" s="8"/>
      <c r="H160" s="8"/>
    </row>
    <row r="161">
      <c r="B161" s="127"/>
      <c r="C161" s="127"/>
      <c r="G161" s="8"/>
      <c r="H161" s="8"/>
    </row>
    <row r="162">
      <c r="B162" s="127"/>
      <c r="C162" s="127"/>
      <c r="G162" s="8"/>
      <c r="H162" s="8"/>
    </row>
    <row r="163">
      <c r="B163" s="127"/>
      <c r="C163" s="127"/>
      <c r="G163" s="8"/>
      <c r="H163" s="8"/>
    </row>
    <row r="164">
      <c r="B164" s="127"/>
      <c r="C164" s="127"/>
      <c r="G164" s="8"/>
      <c r="H164" s="8"/>
    </row>
    <row r="165">
      <c r="B165" s="127"/>
      <c r="C165" s="127"/>
      <c r="G165" s="8"/>
      <c r="H165" s="8"/>
    </row>
    <row r="166">
      <c r="B166" s="127"/>
      <c r="C166" s="127"/>
      <c r="G166" s="8"/>
      <c r="H166" s="8"/>
    </row>
    <row r="167">
      <c r="B167" s="127"/>
      <c r="C167" s="127"/>
      <c r="G167" s="8"/>
      <c r="H167" s="8"/>
    </row>
    <row r="168">
      <c r="B168" s="127"/>
      <c r="C168" s="127"/>
      <c r="G168" s="8"/>
      <c r="H168" s="8"/>
    </row>
    <row r="169">
      <c r="B169" s="127"/>
      <c r="C169" s="127"/>
      <c r="G169" s="8"/>
      <c r="H169" s="8"/>
    </row>
    <row r="170">
      <c r="B170" s="127"/>
      <c r="C170" s="127"/>
      <c r="G170" s="8"/>
      <c r="H170" s="8"/>
    </row>
    <row r="171">
      <c r="B171" s="127"/>
      <c r="C171" s="127"/>
      <c r="G171" s="8"/>
      <c r="H171" s="8"/>
    </row>
    <row r="172">
      <c r="B172" s="127"/>
      <c r="C172" s="127"/>
      <c r="G172" s="8"/>
      <c r="H172" s="8"/>
    </row>
    <row r="173">
      <c r="B173" s="127"/>
      <c r="C173" s="127"/>
      <c r="G173" s="8"/>
      <c r="H173" s="8"/>
    </row>
    <row r="174">
      <c r="B174" s="127"/>
      <c r="C174" s="127"/>
      <c r="G174" s="8"/>
      <c r="H174" s="8"/>
    </row>
    <row r="175">
      <c r="B175" s="127"/>
      <c r="C175" s="127"/>
      <c r="G175" s="8"/>
      <c r="H175" s="8"/>
    </row>
    <row r="176">
      <c r="B176" s="127"/>
      <c r="C176" s="127"/>
      <c r="G176" s="8"/>
      <c r="H176" s="8"/>
    </row>
    <row r="177">
      <c r="B177" s="127"/>
      <c r="C177" s="127"/>
      <c r="G177" s="8"/>
      <c r="H177" s="8"/>
    </row>
    <row r="178">
      <c r="B178" s="127"/>
      <c r="C178" s="127"/>
      <c r="G178" s="8"/>
      <c r="H178" s="8"/>
    </row>
    <row r="179">
      <c r="B179" s="127"/>
      <c r="C179" s="127"/>
      <c r="G179" s="8"/>
      <c r="H179" s="8"/>
    </row>
    <row r="180">
      <c r="B180" s="127"/>
      <c r="C180" s="127"/>
      <c r="G180" s="8"/>
      <c r="H180" s="8"/>
    </row>
    <row r="181">
      <c r="B181" s="127"/>
      <c r="C181" s="127"/>
      <c r="G181" s="8"/>
      <c r="H181" s="8"/>
    </row>
    <row r="182">
      <c r="B182" s="127"/>
      <c r="C182" s="127"/>
      <c r="G182" s="8"/>
      <c r="H182" s="8"/>
    </row>
    <row r="183">
      <c r="B183" s="127"/>
      <c r="C183" s="127"/>
      <c r="G183" s="8"/>
      <c r="H183" s="8"/>
    </row>
    <row r="184">
      <c r="B184" s="127"/>
      <c r="C184" s="127"/>
      <c r="G184" s="8"/>
      <c r="H184" s="8"/>
    </row>
    <row r="185">
      <c r="B185" s="127"/>
      <c r="C185" s="127"/>
      <c r="G185" s="8"/>
      <c r="H185" s="8"/>
    </row>
    <row r="186">
      <c r="B186" s="127"/>
      <c r="C186" s="127"/>
      <c r="G186" s="8"/>
      <c r="H186" s="8"/>
    </row>
    <row r="187">
      <c r="B187" s="127"/>
      <c r="C187" s="127"/>
      <c r="G187" s="8"/>
      <c r="H187" s="8"/>
    </row>
    <row r="188">
      <c r="B188" s="127"/>
      <c r="C188" s="127"/>
      <c r="G188" s="8"/>
      <c r="H188" s="8"/>
    </row>
    <row r="189">
      <c r="B189" s="127"/>
      <c r="C189" s="127"/>
      <c r="G189" s="8"/>
      <c r="H189" s="8"/>
    </row>
    <row r="190">
      <c r="B190" s="127"/>
      <c r="C190" s="127"/>
      <c r="G190" s="8"/>
      <c r="H190" s="8"/>
    </row>
    <row r="191">
      <c r="B191" s="127"/>
      <c r="C191" s="127"/>
      <c r="G191" s="8"/>
      <c r="H191" s="8"/>
    </row>
    <row r="192">
      <c r="B192" s="127"/>
      <c r="C192" s="127"/>
      <c r="G192" s="8"/>
      <c r="H192" s="8"/>
    </row>
    <row r="193">
      <c r="B193" s="127"/>
      <c r="C193" s="127"/>
      <c r="G193" s="8"/>
      <c r="H193" s="8"/>
    </row>
    <row r="194">
      <c r="B194" s="127"/>
      <c r="C194" s="127"/>
      <c r="G194" s="8"/>
      <c r="H194" s="8"/>
    </row>
    <row r="195">
      <c r="B195" s="127"/>
      <c r="C195" s="127"/>
      <c r="G195" s="8"/>
      <c r="H195" s="8"/>
    </row>
    <row r="196">
      <c r="B196" s="127"/>
      <c r="C196" s="127"/>
      <c r="G196" s="8"/>
      <c r="H196" s="8"/>
    </row>
    <row r="197">
      <c r="B197" s="127"/>
      <c r="C197" s="127"/>
      <c r="G197" s="8"/>
      <c r="H197" s="8"/>
    </row>
    <row r="198">
      <c r="B198" s="127"/>
      <c r="C198" s="127"/>
      <c r="G198" s="8"/>
      <c r="H198" s="8"/>
    </row>
    <row r="199">
      <c r="B199" s="127"/>
      <c r="C199" s="127"/>
      <c r="G199" s="8"/>
      <c r="H199" s="8"/>
    </row>
    <row r="200">
      <c r="B200" s="127"/>
      <c r="C200" s="127"/>
      <c r="G200" s="8"/>
      <c r="H200" s="8"/>
    </row>
    <row r="201">
      <c r="B201" s="127"/>
      <c r="C201" s="127"/>
      <c r="G201" s="8"/>
      <c r="H201" s="8"/>
    </row>
    <row r="202">
      <c r="B202" s="127"/>
      <c r="C202" s="127"/>
      <c r="G202" s="8"/>
      <c r="H202" s="8"/>
    </row>
    <row r="203">
      <c r="B203" s="127"/>
      <c r="C203" s="127"/>
      <c r="G203" s="8"/>
      <c r="H203" s="8"/>
    </row>
    <row r="204">
      <c r="B204" s="127"/>
      <c r="C204" s="127"/>
      <c r="G204" s="8"/>
      <c r="H204" s="8"/>
    </row>
    <row r="205">
      <c r="B205" s="127"/>
      <c r="C205" s="127"/>
      <c r="G205" s="8"/>
      <c r="H205" s="8"/>
    </row>
    <row r="206">
      <c r="B206" s="127"/>
      <c r="C206" s="127"/>
      <c r="G206" s="8"/>
      <c r="H206" s="8"/>
    </row>
    <row r="207">
      <c r="B207" s="127"/>
      <c r="C207" s="127"/>
      <c r="G207" s="8"/>
      <c r="H207" s="8"/>
    </row>
    <row r="208">
      <c r="B208" s="127"/>
      <c r="C208" s="127"/>
      <c r="G208" s="8"/>
      <c r="H208" s="8"/>
    </row>
    <row r="209">
      <c r="B209" s="127"/>
      <c r="C209" s="127"/>
      <c r="G209" s="8"/>
      <c r="H209" s="8"/>
    </row>
    <row r="210">
      <c r="B210" s="127"/>
      <c r="C210" s="127"/>
      <c r="G210" s="8"/>
      <c r="H210" s="8"/>
    </row>
    <row r="211">
      <c r="B211" s="127"/>
      <c r="C211" s="127"/>
      <c r="G211" s="8"/>
      <c r="H211" s="8"/>
    </row>
    <row r="212">
      <c r="B212" s="127"/>
      <c r="C212" s="127"/>
      <c r="G212" s="8"/>
      <c r="H212" s="8"/>
    </row>
    <row r="213">
      <c r="B213" s="127"/>
      <c r="C213" s="127"/>
      <c r="G213" s="8"/>
      <c r="H213" s="8"/>
    </row>
    <row r="214">
      <c r="B214" s="127"/>
      <c r="C214" s="127"/>
      <c r="G214" s="8"/>
      <c r="H214" s="8"/>
    </row>
    <row r="215">
      <c r="B215" s="127"/>
      <c r="C215" s="127"/>
      <c r="G215" s="8"/>
      <c r="H215" s="8"/>
    </row>
    <row r="216">
      <c r="B216" s="127"/>
      <c r="C216" s="127"/>
      <c r="G216" s="8"/>
      <c r="H216" s="8"/>
    </row>
    <row r="217">
      <c r="B217" s="127"/>
      <c r="C217" s="127"/>
      <c r="G217" s="8"/>
      <c r="H217" s="8"/>
    </row>
    <row r="218">
      <c r="B218" s="127"/>
      <c r="C218" s="127"/>
      <c r="G218" s="8"/>
      <c r="H218" s="8"/>
    </row>
    <row r="219">
      <c r="B219" s="127"/>
      <c r="C219" s="127"/>
      <c r="G219" s="8"/>
      <c r="H219" s="8"/>
    </row>
    <row r="220">
      <c r="B220" s="127"/>
      <c r="C220" s="127"/>
      <c r="G220" s="8"/>
      <c r="H220" s="8"/>
    </row>
    <row r="221">
      <c r="B221" s="127"/>
      <c r="C221" s="127"/>
      <c r="G221" s="8"/>
      <c r="H221" s="8"/>
    </row>
    <row r="222">
      <c r="B222" s="127"/>
      <c r="C222" s="127"/>
      <c r="G222" s="8"/>
      <c r="H222" s="8"/>
    </row>
    <row r="223">
      <c r="B223" s="127"/>
      <c r="C223" s="127"/>
      <c r="G223" s="8"/>
      <c r="H223" s="8"/>
    </row>
    <row r="224">
      <c r="B224" s="127"/>
      <c r="C224" s="127"/>
      <c r="G224" s="8"/>
      <c r="H224" s="8"/>
    </row>
    <row r="225">
      <c r="B225" s="127"/>
      <c r="C225" s="127"/>
      <c r="G225" s="8"/>
      <c r="H225" s="8"/>
    </row>
    <row r="226">
      <c r="B226" s="127"/>
      <c r="C226" s="127"/>
      <c r="G226" s="8"/>
      <c r="H226" s="8"/>
    </row>
    <row r="227">
      <c r="B227" s="127"/>
      <c r="C227" s="127"/>
      <c r="G227" s="8"/>
      <c r="H227" s="8"/>
    </row>
    <row r="228">
      <c r="B228" s="127"/>
      <c r="C228" s="127"/>
      <c r="G228" s="8"/>
      <c r="H228" s="8"/>
    </row>
    <row r="229">
      <c r="B229" s="127"/>
      <c r="C229" s="127"/>
      <c r="G229" s="8"/>
      <c r="H229" s="8"/>
    </row>
    <row r="230">
      <c r="B230" s="127"/>
      <c r="C230" s="127"/>
      <c r="G230" s="8"/>
      <c r="H230" s="8"/>
    </row>
    <row r="231">
      <c r="B231" s="127"/>
      <c r="C231" s="127"/>
      <c r="G231" s="8"/>
      <c r="H231" s="8"/>
    </row>
    <row r="232">
      <c r="B232" s="127"/>
      <c r="C232" s="127"/>
      <c r="G232" s="8"/>
      <c r="H232" s="8"/>
    </row>
    <row r="233">
      <c r="B233" s="127"/>
      <c r="C233" s="127"/>
      <c r="G233" s="8"/>
      <c r="H233" s="8"/>
    </row>
    <row r="234">
      <c r="B234" s="127"/>
      <c r="C234" s="127"/>
      <c r="G234" s="8"/>
      <c r="H234" s="8"/>
    </row>
    <row r="235">
      <c r="B235" s="127"/>
      <c r="C235" s="127"/>
      <c r="G235" s="8"/>
      <c r="H235" s="8"/>
    </row>
    <row r="236">
      <c r="B236" s="127"/>
      <c r="C236" s="127"/>
      <c r="G236" s="8"/>
      <c r="H236" s="8"/>
    </row>
    <row r="237">
      <c r="B237" s="127"/>
      <c r="C237" s="127"/>
      <c r="G237" s="8"/>
      <c r="H237" s="8"/>
    </row>
    <row r="238">
      <c r="B238" s="127"/>
      <c r="C238" s="127"/>
      <c r="G238" s="8"/>
      <c r="H238" s="8"/>
    </row>
    <row r="239">
      <c r="B239" s="127"/>
      <c r="C239" s="127"/>
      <c r="G239" s="8"/>
      <c r="H239" s="8"/>
    </row>
    <row r="240">
      <c r="B240" s="127"/>
      <c r="C240" s="127"/>
      <c r="G240" s="8"/>
      <c r="H240" s="8"/>
    </row>
    <row r="241">
      <c r="B241" s="127"/>
      <c r="C241" s="127"/>
      <c r="G241" s="8"/>
      <c r="H241" s="8"/>
    </row>
    <row r="242">
      <c r="B242" s="127"/>
      <c r="C242" s="127"/>
      <c r="G242" s="8"/>
      <c r="H242" s="8"/>
    </row>
    <row r="243">
      <c r="B243" s="127"/>
      <c r="C243" s="127"/>
      <c r="G243" s="8"/>
      <c r="H243" s="8"/>
    </row>
    <row r="244">
      <c r="B244" s="127"/>
      <c r="C244" s="127"/>
      <c r="G244" s="8"/>
      <c r="H244" s="8"/>
    </row>
    <row r="245">
      <c r="B245" s="127"/>
      <c r="C245" s="127"/>
      <c r="G245" s="8"/>
      <c r="H245" s="8"/>
    </row>
    <row r="246">
      <c r="B246" s="127"/>
      <c r="C246" s="127"/>
      <c r="G246" s="8"/>
      <c r="H246" s="8"/>
    </row>
    <row r="247">
      <c r="B247" s="127"/>
      <c r="C247" s="127"/>
      <c r="G247" s="8"/>
      <c r="H247" s="8"/>
    </row>
    <row r="248">
      <c r="B248" s="127"/>
      <c r="C248" s="127"/>
      <c r="G248" s="8"/>
      <c r="H248" s="8"/>
    </row>
    <row r="249">
      <c r="B249" s="127"/>
      <c r="C249" s="127"/>
      <c r="G249" s="8"/>
      <c r="H249" s="8"/>
    </row>
    <row r="250">
      <c r="B250" s="127"/>
      <c r="C250" s="127"/>
      <c r="G250" s="8"/>
      <c r="H250" s="8"/>
    </row>
    <row r="251">
      <c r="B251" s="127"/>
      <c r="C251" s="127"/>
      <c r="G251" s="8"/>
      <c r="H251" s="8"/>
    </row>
    <row r="252">
      <c r="B252" s="127"/>
      <c r="C252" s="127"/>
      <c r="G252" s="8"/>
      <c r="H252" s="8"/>
    </row>
    <row r="253">
      <c r="B253" s="127"/>
      <c r="C253" s="127"/>
      <c r="G253" s="8"/>
      <c r="H253" s="8"/>
    </row>
    <row r="254">
      <c r="B254" s="127"/>
      <c r="C254" s="127"/>
      <c r="G254" s="8"/>
      <c r="H254" s="8"/>
    </row>
    <row r="255">
      <c r="B255" s="127"/>
      <c r="C255" s="127"/>
      <c r="G255" s="8"/>
      <c r="H255" s="8"/>
    </row>
    <row r="256">
      <c r="B256" s="127"/>
      <c r="C256" s="127"/>
      <c r="G256" s="8"/>
      <c r="H256" s="8"/>
    </row>
    <row r="257">
      <c r="B257" s="127"/>
      <c r="C257" s="127"/>
      <c r="G257" s="8"/>
      <c r="H257" s="8"/>
    </row>
    <row r="258">
      <c r="B258" s="127"/>
      <c r="C258" s="127"/>
      <c r="G258" s="8"/>
      <c r="H258" s="8"/>
    </row>
    <row r="259">
      <c r="B259" s="127"/>
      <c r="C259" s="127"/>
      <c r="G259" s="8"/>
      <c r="H259" s="8"/>
    </row>
    <row r="260">
      <c r="B260" s="127"/>
      <c r="C260" s="127"/>
      <c r="G260" s="8"/>
      <c r="H260" s="8"/>
    </row>
    <row r="261">
      <c r="B261" s="127"/>
      <c r="C261" s="127"/>
      <c r="G261" s="8"/>
      <c r="H261" s="8"/>
    </row>
    <row r="262">
      <c r="B262" s="127"/>
      <c r="C262" s="127"/>
      <c r="G262" s="8"/>
      <c r="H262" s="8"/>
    </row>
    <row r="263">
      <c r="B263" s="127"/>
      <c r="C263" s="127"/>
      <c r="G263" s="8"/>
      <c r="H263" s="8"/>
    </row>
    <row r="264">
      <c r="B264" s="127"/>
      <c r="C264" s="127"/>
      <c r="G264" s="8"/>
      <c r="H264" s="8"/>
    </row>
    <row r="265">
      <c r="B265" s="127"/>
      <c r="C265" s="127"/>
      <c r="G265" s="8"/>
      <c r="H265" s="8"/>
    </row>
    <row r="266">
      <c r="B266" s="127"/>
      <c r="C266" s="127"/>
      <c r="G266" s="8"/>
      <c r="H266" s="8"/>
    </row>
    <row r="267">
      <c r="B267" s="127"/>
      <c r="C267" s="127"/>
      <c r="G267" s="8"/>
      <c r="H267" s="8"/>
    </row>
    <row r="268">
      <c r="B268" s="127"/>
      <c r="C268" s="127"/>
      <c r="G268" s="8"/>
      <c r="H268" s="8"/>
    </row>
    <row r="269">
      <c r="B269" s="127"/>
      <c r="C269" s="127"/>
      <c r="G269" s="8"/>
      <c r="H269" s="8"/>
    </row>
    <row r="270">
      <c r="B270" s="127"/>
      <c r="C270" s="127"/>
      <c r="G270" s="8"/>
      <c r="H270" s="8"/>
    </row>
    <row r="271">
      <c r="B271" s="127"/>
      <c r="C271" s="127"/>
      <c r="G271" s="8"/>
      <c r="H271" s="8"/>
    </row>
    <row r="272">
      <c r="B272" s="127"/>
      <c r="C272" s="127"/>
      <c r="G272" s="8"/>
      <c r="H272" s="8"/>
    </row>
    <row r="273">
      <c r="B273" s="127"/>
      <c r="C273" s="127"/>
      <c r="G273" s="8"/>
      <c r="H273" s="8"/>
    </row>
    <row r="274">
      <c r="B274" s="127"/>
      <c r="C274" s="127"/>
      <c r="G274" s="8"/>
      <c r="H274" s="8"/>
    </row>
    <row r="275">
      <c r="B275" s="127"/>
      <c r="C275" s="127"/>
      <c r="G275" s="8"/>
      <c r="H275" s="8"/>
    </row>
    <row r="276">
      <c r="B276" s="127"/>
      <c r="C276" s="127"/>
      <c r="G276" s="8"/>
      <c r="H276" s="8"/>
    </row>
    <row r="277">
      <c r="B277" s="127"/>
      <c r="C277" s="127"/>
      <c r="G277" s="8"/>
      <c r="H277" s="8"/>
    </row>
    <row r="278">
      <c r="B278" s="127"/>
      <c r="C278" s="127"/>
      <c r="G278" s="8"/>
      <c r="H278" s="8"/>
    </row>
    <row r="279">
      <c r="B279" s="127"/>
      <c r="C279" s="127"/>
      <c r="G279" s="8"/>
      <c r="H279" s="8"/>
    </row>
    <row r="280">
      <c r="B280" s="127"/>
      <c r="C280" s="127"/>
      <c r="G280" s="8"/>
      <c r="H280" s="8"/>
    </row>
    <row r="281">
      <c r="B281" s="127"/>
      <c r="C281" s="127"/>
      <c r="G281" s="8"/>
      <c r="H281" s="8"/>
    </row>
    <row r="282">
      <c r="B282" s="127"/>
      <c r="C282" s="127"/>
      <c r="G282" s="8"/>
      <c r="H282" s="8"/>
    </row>
    <row r="283">
      <c r="B283" s="127"/>
      <c r="C283" s="127"/>
      <c r="G283" s="8"/>
      <c r="H283" s="8"/>
    </row>
    <row r="284">
      <c r="B284" s="127"/>
      <c r="C284" s="127"/>
      <c r="G284" s="8"/>
      <c r="H284" s="8"/>
    </row>
    <row r="285">
      <c r="B285" s="127"/>
      <c r="C285" s="127"/>
      <c r="G285" s="8"/>
      <c r="H285" s="8"/>
    </row>
    <row r="286">
      <c r="B286" s="127"/>
      <c r="C286" s="127"/>
      <c r="G286" s="8"/>
      <c r="H286" s="8"/>
    </row>
    <row r="287">
      <c r="B287" s="127"/>
      <c r="C287" s="127"/>
      <c r="G287" s="8"/>
      <c r="H287" s="8"/>
    </row>
    <row r="288">
      <c r="B288" s="127"/>
      <c r="C288" s="127"/>
      <c r="G288" s="8"/>
      <c r="H288" s="8"/>
    </row>
    <row r="289">
      <c r="B289" s="127"/>
      <c r="C289" s="127"/>
      <c r="G289" s="8"/>
      <c r="H289" s="8"/>
    </row>
    <row r="290">
      <c r="B290" s="127"/>
      <c r="C290" s="127"/>
      <c r="G290" s="8"/>
      <c r="H290" s="8"/>
    </row>
    <row r="291">
      <c r="B291" s="127"/>
      <c r="C291" s="127"/>
      <c r="G291" s="8"/>
      <c r="H291" s="8"/>
    </row>
    <row r="292">
      <c r="B292" s="127"/>
      <c r="C292" s="127"/>
      <c r="G292" s="8"/>
      <c r="H292" s="8"/>
    </row>
    <row r="293">
      <c r="B293" s="127"/>
      <c r="C293" s="127"/>
      <c r="G293" s="8"/>
      <c r="H293" s="8"/>
    </row>
    <row r="294">
      <c r="B294" s="127"/>
      <c r="C294" s="127"/>
      <c r="G294" s="8"/>
      <c r="H294" s="8"/>
    </row>
    <row r="295">
      <c r="B295" s="127"/>
      <c r="C295" s="127"/>
      <c r="G295" s="8"/>
      <c r="H295" s="8"/>
    </row>
    <row r="296">
      <c r="B296" s="127"/>
      <c r="C296" s="127"/>
      <c r="G296" s="8"/>
      <c r="H296" s="8"/>
    </row>
    <row r="297">
      <c r="B297" s="127"/>
      <c r="C297" s="127"/>
      <c r="G297" s="8"/>
      <c r="H297" s="8"/>
    </row>
    <row r="298">
      <c r="B298" s="127"/>
      <c r="C298" s="127"/>
      <c r="G298" s="8"/>
      <c r="H298" s="8"/>
    </row>
    <row r="299">
      <c r="B299" s="127"/>
      <c r="C299" s="127"/>
      <c r="G299" s="8"/>
      <c r="H299" s="8"/>
    </row>
    <row r="300">
      <c r="B300" s="127"/>
      <c r="C300" s="127"/>
      <c r="G300" s="8"/>
      <c r="H300" s="8"/>
    </row>
    <row r="301">
      <c r="B301" s="127"/>
      <c r="C301" s="127"/>
      <c r="G301" s="8"/>
      <c r="H301" s="8"/>
    </row>
    <row r="302">
      <c r="B302" s="127"/>
      <c r="C302" s="127"/>
      <c r="G302" s="8"/>
      <c r="H302" s="8"/>
    </row>
    <row r="303">
      <c r="B303" s="127"/>
      <c r="C303" s="127"/>
      <c r="G303" s="8"/>
      <c r="H303" s="8"/>
    </row>
    <row r="304">
      <c r="B304" s="127"/>
      <c r="C304" s="127"/>
      <c r="G304" s="8"/>
      <c r="H304" s="8"/>
    </row>
    <row r="305">
      <c r="B305" s="127"/>
      <c r="C305" s="127"/>
      <c r="G305" s="8"/>
      <c r="H305" s="8"/>
    </row>
    <row r="306">
      <c r="B306" s="127"/>
      <c r="C306" s="127"/>
      <c r="G306" s="8"/>
      <c r="H306" s="8"/>
    </row>
    <row r="307">
      <c r="B307" s="127"/>
      <c r="C307" s="127"/>
      <c r="G307" s="8"/>
      <c r="H307" s="8"/>
    </row>
    <row r="308">
      <c r="B308" s="127"/>
      <c r="C308" s="127"/>
      <c r="G308" s="8"/>
      <c r="H308" s="8"/>
    </row>
    <row r="309">
      <c r="B309" s="127"/>
      <c r="C309" s="127"/>
      <c r="G309" s="8"/>
      <c r="H309" s="8"/>
    </row>
    <row r="310">
      <c r="B310" s="127"/>
      <c r="C310" s="127"/>
      <c r="G310" s="8"/>
      <c r="H310" s="8"/>
    </row>
    <row r="311">
      <c r="B311" s="127"/>
      <c r="C311" s="127"/>
      <c r="G311" s="8"/>
      <c r="H311" s="8"/>
    </row>
    <row r="312">
      <c r="B312" s="127"/>
      <c r="C312" s="127"/>
      <c r="G312" s="8"/>
      <c r="H312" s="8"/>
    </row>
    <row r="313">
      <c r="B313" s="127"/>
      <c r="C313" s="127"/>
      <c r="G313" s="8"/>
      <c r="H313" s="8"/>
    </row>
    <row r="314">
      <c r="B314" s="127"/>
      <c r="C314" s="127"/>
      <c r="G314" s="8"/>
      <c r="H314" s="8"/>
    </row>
    <row r="315">
      <c r="B315" s="127"/>
      <c r="C315" s="127"/>
      <c r="G315" s="8"/>
      <c r="H315" s="8"/>
    </row>
    <row r="316">
      <c r="B316" s="127"/>
      <c r="C316" s="127"/>
      <c r="G316" s="8"/>
      <c r="H316" s="8"/>
    </row>
    <row r="317">
      <c r="B317" s="127"/>
      <c r="C317" s="127"/>
      <c r="G317" s="8"/>
      <c r="H317" s="8"/>
    </row>
    <row r="318">
      <c r="B318" s="127"/>
      <c r="C318" s="127"/>
      <c r="G318" s="8"/>
      <c r="H318" s="8"/>
    </row>
    <row r="319">
      <c r="B319" s="127"/>
      <c r="C319" s="127"/>
      <c r="G319" s="8"/>
      <c r="H319" s="8"/>
    </row>
    <row r="320">
      <c r="B320" s="127"/>
      <c r="C320" s="127"/>
      <c r="G320" s="8"/>
      <c r="H320" s="8"/>
    </row>
    <row r="321">
      <c r="B321" s="127"/>
      <c r="C321" s="127"/>
      <c r="G321" s="8"/>
      <c r="H321" s="8"/>
    </row>
    <row r="322">
      <c r="B322" s="127"/>
      <c r="C322" s="127"/>
      <c r="G322" s="8"/>
      <c r="H322" s="8"/>
    </row>
    <row r="323">
      <c r="B323" s="127"/>
      <c r="C323" s="127"/>
      <c r="G323" s="8"/>
      <c r="H323" s="8"/>
    </row>
    <row r="324">
      <c r="B324" s="127"/>
      <c r="C324" s="127"/>
      <c r="G324" s="8"/>
      <c r="H324" s="8"/>
    </row>
    <row r="325">
      <c r="B325" s="127"/>
      <c r="C325" s="127"/>
      <c r="G325" s="8"/>
      <c r="H325" s="8"/>
    </row>
    <row r="326">
      <c r="B326" s="127"/>
      <c r="C326" s="127"/>
      <c r="G326" s="8"/>
      <c r="H326" s="8"/>
    </row>
    <row r="327">
      <c r="B327" s="127"/>
      <c r="C327" s="127"/>
      <c r="G327" s="8"/>
      <c r="H327" s="8"/>
    </row>
    <row r="328">
      <c r="B328" s="127"/>
      <c r="C328" s="127"/>
      <c r="G328" s="8"/>
      <c r="H328" s="8"/>
    </row>
    <row r="329">
      <c r="B329" s="127"/>
      <c r="C329" s="127"/>
      <c r="G329" s="8"/>
      <c r="H329" s="8"/>
    </row>
    <row r="330">
      <c r="B330" s="127"/>
      <c r="C330" s="127"/>
      <c r="G330" s="8"/>
      <c r="H330" s="8"/>
    </row>
    <row r="331">
      <c r="B331" s="127"/>
      <c r="C331" s="127"/>
      <c r="G331" s="8"/>
      <c r="H331" s="8"/>
    </row>
    <row r="332">
      <c r="B332" s="127"/>
      <c r="C332" s="127"/>
      <c r="G332" s="8"/>
      <c r="H332" s="8"/>
    </row>
    <row r="333">
      <c r="B333" s="127"/>
      <c r="C333" s="127"/>
      <c r="G333" s="8"/>
      <c r="H333" s="8"/>
    </row>
    <row r="334">
      <c r="B334" s="127"/>
      <c r="C334" s="127"/>
      <c r="G334" s="8"/>
      <c r="H334" s="8"/>
    </row>
    <row r="335">
      <c r="B335" s="127"/>
      <c r="C335" s="127"/>
      <c r="G335" s="8"/>
      <c r="H335" s="8"/>
    </row>
    <row r="336">
      <c r="B336" s="127"/>
      <c r="C336" s="127"/>
      <c r="G336" s="8"/>
      <c r="H336" s="8"/>
    </row>
    <row r="337">
      <c r="B337" s="127"/>
      <c r="C337" s="127"/>
      <c r="G337" s="8"/>
      <c r="H337" s="8"/>
    </row>
    <row r="338">
      <c r="B338" s="127"/>
      <c r="C338" s="127"/>
      <c r="G338" s="8"/>
      <c r="H338" s="8"/>
    </row>
    <row r="339">
      <c r="B339" s="127"/>
      <c r="C339" s="127"/>
      <c r="G339" s="8"/>
      <c r="H339" s="8"/>
    </row>
    <row r="340">
      <c r="B340" s="127"/>
      <c r="C340" s="127"/>
      <c r="G340" s="8"/>
      <c r="H340" s="8"/>
    </row>
    <row r="341">
      <c r="B341" s="127"/>
      <c r="C341" s="127"/>
      <c r="G341" s="8"/>
      <c r="H341" s="8"/>
    </row>
    <row r="342">
      <c r="B342" s="127"/>
      <c r="C342" s="127"/>
      <c r="G342" s="8"/>
      <c r="H342" s="8"/>
    </row>
    <row r="343">
      <c r="B343" s="127"/>
      <c r="C343" s="127"/>
      <c r="G343" s="8"/>
      <c r="H343" s="8"/>
    </row>
    <row r="344">
      <c r="B344" s="127"/>
      <c r="C344" s="127"/>
      <c r="G344" s="8"/>
      <c r="H344" s="8"/>
    </row>
    <row r="345">
      <c r="B345" s="127"/>
      <c r="C345" s="127"/>
      <c r="G345" s="8"/>
      <c r="H345" s="8"/>
    </row>
    <row r="346">
      <c r="B346" s="127"/>
      <c r="C346" s="127"/>
      <c r="G346" s="8"/>
      <c r="H346" s="8"/>
    </row>
    <row r="347">
      <c r="B347" s="127"/>
      <c r="C347" s="127"/>
      <c r="G347" s="8"/>
      <c r="H347" s="8"/>
    </row>
    <row r="348">
      <c r="B348" s="127"/>
      <c r="C348" s="127"/>
      <c r="G348" s="8"/>
      <c r="H348" s="8"/>
    </row>
    <row r="349">
      <c r="B349" s="127"/>
      <c r="C349" s="127"/>
      <c r="G349" s="8"/>
      <c r="H349" s="8"/>
    </row>
    <row r="350">
      <c r="B350" s="127"/>
      <c r="C350" s="127"/>
      <c r="G350" s="8"/>
      <c r="H350" s="8"/>
    </row>
    <row r="351">
      <c r="B351" s="127"/>
      <c r="C351" s="127"/>
      <c r="G351" s="8"/>
      <c r="H351" s="8"/>
    </row>
    <row r="352">
      <c r="B352" s="127"/>
      <c r="C352" s="127"/>
      <c r="G352" s="8"/>
      <c r="H352" s="8"/>
    </row>
    <row r="353">
      <c r="B353" s="127"/>
      <c r="C353" s="127"/>
      <c r="G353" s="8"/>
      <c r="H353" s="8"/>
    </row>
    <row r="354">
      <c r="B354" s="127"/>
      <c r="C354" s="127"/>
      <c r="G354" s="8"/>
      <c r="H354" s="8"/>
    </row>
    <row r="355">
      <c r="B355" s="127"/>
      <c r="C355" s="127"/>
      <c r="G355" s="8"/>
      <c r="H355" s="8"/>
    </row>
    <row r="356">
      <c r="B356" s="127"/>
      <c r="C356" s="127"/>
      <c r="G356" s="8"/>
      <c r="H356" s="8"/>
    </row>
    <row r="357">
      <c r="B357" s="127"/>
      <c r="C357" s="127"/>
      <c r="G357" s="8"/>
      <c r="H357" s="8"/>
    </row>
    <row r="358">
      <c r="B358" s="127"/>
      <c r="C358" s="127"/>
      <c r="G358" s="8"/>
      <c r="H358" s="8"/>
    </row>
    <row r="359">
      <c r="B359" s="127"/>
      <c r="C359" s="127"/>
      <c r="G359" s="8"/>
      <c r="H359" s="8"/>
    </row>
    <row r="360">
      <c r="B360" s="127"/>
      <c r="C360" s="127"/>
      <c r="G360" s="8"/>
      <c r="H360" s="8"/>
    </row>
    <row r="361">
      <c r="B361" s="127"/>
      <c r="C361" s="127"/>
      <c r="G361" s="8"/>
      <c r="H361" s="8"/>
    </row>
    <row r="362">
      <c r="B362" s="127"/>
      <c r="C362" s="127"/>
      <c r="G362" s="8"/>
      <c r="H362" s="8"/>
    </row>
    <row r="363">
      <c r="B363" s="127"/>
      <c r="C363" s="127"/>
      <c r="G363" s="8"/>
      <c r="H363" s="8"/>
    </row>
    <row r="364">
      <c r="B364" s="127"/>
      <c r="C364" s="127"/>
      <c r="G364" s="8"/>
      <c r="H364" s="8"/>
    </row>
    <row r="365">
      <c r="B365" s="127"/>
      <c r="C365" s="127"/>
      <c r="G365" s="8"/>
      <c r="H365" s="8"/>
    </row>
    <row r="366">
      <c r="B366" s="127"/>
      <c r="C366" s="127"/>
      <c r="G366" s="8"/>
      <c r="H366" s="8"/>
    </row>
    <row r="367">
      <c r="B367" s="127"/>
      <c r="C367" s="127"/>
      <c r="G367" s="8"/>
      <c r="H367" s="8"/>
    </row>
    <row r="368">
      <c r="B368" s="127"/>
      <c r="C368" s="127"/>
      <c r="G368" s="8"/>
      <c r="H368" s="8"/>
    </row>
    <row r="369">
      <c r="B369" s="127"/>
      <c r="C369" s="127"/>
      <c r="G369" s="8"/>
      <c r="H369" s="8"/>
    </row>
    <row r="370">
      <c r="B370" s="127"/>
      <c r="C370" s="127"/>
      <c r="G370" s="8"/>
      <c r="H370" s="8"/>
    </row>
    <row r="371">
      <c r="B371" s="127"/>
      <c r="C371" s="127"/>
      <c r="G371" s="8"/>
      <c r="H371" s="8"/>
    </row>
    <row r="372">
      <c r="B372" s="127"/>
      <c r="C372" s="127"/>
      <c r="G372" s="8"/>
      <c r="H372" s="8"/>
    </row>
    <row r="373">
      <c r="B373" s="127"/>
      <c r="C373" s="127"/>
      <c r="G373" s="8"/>
      <c r="H373" s="8"/>
    </row>
    <row r="374">
      <c r="B374" s="127"/>
      <c r="C374" s="127"/>
      <c r="G374" s="8"/>
      <c r="H374" s="8"/>
    </row>
    <row r="375">
      <c r="B375" s="127"/>
      <c r="C375" s="127"/>
      <c r="G375" s="8"/>
      <c r="H375" s="8"/>
    </row>
    <row r="376">
      <c r="B376" s="127"/>
      <c r="C376" s="127"/>
      <c r="G376" s="8"/>
      <c r="H376" s="8"/>
    </row>
    <row r="377">
      <c r="B377" s="127"/>
      <c r="C377" s="127"/>
      <c r="G377" s="8"/>
      <c r="H377" s="8"/>
    </row>
    <row r="378">
      <c r="B378" s="127"/>
      <c r="C378" s="127"/>
      <c r="G378" s="8"/>
      <c r="H378" s="8"/>
    </row>
    <row r="379">
      <c r="B379" s="127"/>
      <c r="C379" s="127"/>
      <c r="G379" s="8"/>
      <c r="H379" s="8"/>
    </row>
    <row r="380">
      <c r="B380" s="127"/>
      <c r="C380" s="127"/>
      <c r="G380" s="8"/>
      <c r="H380" s="8"/>
    </row>
    <row r="381">
      <c r="B381" s="127"/>
      <c r="C381" s="127"/>
      <c r="G381" s="8"/>
      <c r="H381" s="8"/>
    </row>
    <row r="382">
      <c r="B382" s="127"/>
      <c r="C382" s="127"/>
      <c r="G382" s="8"/>
      <c r="H382" s="8"/>
    </row>
    <row r="383">
      <c r="B383" s="127"/>
      <c r="C383" s="127"/>
      <c r="G383" s="8"/>
      <c r="H383" s="8"/>
    </row>
    <row r="384">
      <c r="B384" s="127"/>
      <c r="C384" s="127"/>
      <c r="G384" s="8"/>
      <c r="H384" s="8"/>
    </row>
    <row r="385">
      <c r="B385" s="127"/>
      <c r="C385" s="127"/>
      <c r="G385" s="8"/>
      <c r="H385" s="8"/>
    </row>
    <row r="386">
      <c r="B386" s="127"/>
      <c r="C386" s="127"/>
      <c r="G386" s="8"/>
      <c r="H386" s="8"/>
    </row>
    <row r="387">
      <c r="B387" s="127"/>
      <c r="C387" s="127"/>
      <c r="G387" s="8"/>
      <c r="H387" s="8"/>
    </row>
    <row r="388">
      <c r="B388" s="127"/>
      <c r="C388" s="127"/>
      <c r="G388" s="8"/>
      <c r="H388" s="8"/>
    </row>
    <row r="389">
      <c r="B389" s="127"/>
      <c r="C389" s="127"/>
      <c r="G389" s="8"/>
      <c r="H389" s="8"/>
    </row>
    <row r="390">
      <c r="B390" s="127"/>
      <c r="C390" s="127"/>
      <c r="G390" s="8"/>
      <c r="H390" s="8"/>
    </row>
    <row r="391">
      <c r="B391" s="127"/>
      <c r="C391" s="127"/>
      <c r="G391" s="8"/>
      <c r="H391" s="8"/>
    </row>
    <row r="392">
      <c r="B392" s="127"/>
      <c r="C392" s="127"/>
      <c r="G392" s="8"/>
      <c r="H392" s="8"/>
    </row>
    <row r="393">
      <c r="B393" s="127"/>
      <c r="C393" s="127"/>
      <c r="G393" s="8"/>
      <c r="H393" s="8"/>
    </row>
    <row r="394">
      <c r="B394" s="127"/>
      <c r="C394" s="127"/>
      <c r="G394" s="8"/>
      <c r="H394" s="8"/>
    </row>
    <row r="395">
      <c r="B395" s="127"/>
      <c r="C395" s="127"/>
      <c r="G395" s="8"/>
      <c r="H395" s="8"/>
    </row>
    <row r="396">
      <c r="B396" s="127"/>
      <c r="C396" s="127"/>
      <c r="G396" s="8"/>
      <c r="H396" s="8"/>
    </row>
    <row r="397">
      <c r="B397" s="127"/>
      <c r="C397" s="127"/>
      <c r="G397" s="8"/>
      <c r="H397" s="8"/>
    </row>
    <row r="398">
      <c r="B398" s="127"/>
      <c r="C398" s="127"/>
      <c r="G398" s="8"/>
      <c r="H398" s="8"/>
    </row>
    <row r="399">
      <c r="B399" s="127"/>
      <c r="C399" s="127"/>
      <c r="G399" s="8"/>
      <c r="H399" s="8"/>
    </row>
    <row r="400">
      <c r="B400" s="127"/>
      <c r="C400" s="127"/>
      <c r="G400" s="8"/>
      <c r="H400" s="8"/>
    </row>
    <row r="401">
      <c r="B401" s="127"/>
      <c r="C401" s="127"/>
      <c r="G401" s="8"/>
      <c r="H401" s="8"/>
    </row>
    <row r="402">
      <c r="B402" s="127"/>
      <c r="C402" s="127"/>
      <c r="G402" s="8"/>
      <c r="H402" s="8"/>
    </row>
    <row r="403">
      <c r="B403" s="127"/>
      <c r="C403" s="127"/>
      <c r="G403" s="8"/>
      <c r="H403" s="8"/>
    </row>
    <row r="404">
      <c r="B404" s="127"/>
      <c r="C404" s="127"/>
      <c r="G404" s="8"/>
      <c r="H404" s="8"/>
    </row>
    <row r="405">
      <c r="B405" s="127"/>
      <c r="C405" s="127"/>
      <c r="G405" s="8"/>
      <c r="H405" s="8"/>
    </row>
    <row r="406">
      <c r="B406" s="127"/>
      <c r="C406" s="127"/>
      <c r="G406" s="8"/>
      <c r="H406" s="8"/>
    </row>
    <row r="407">
      <c r="B407" s="127"/>
      <c r="C407" s="127"/>
      <c r="G407" s="8"/>
      <c r="H407" s="8"/>
    </row>
    <row r="408">
      <c r="B408" s="127"/>
      <c r="C408" s="127"/>
      <c r="G408" s="8"/>
      <c r="H408" s="8"/>
    </row>
    <row r="409">
      <c r="B409" s="127"/>
      <c r="C409" s="127"/>
      <c r="G409" s="8"/>
      <c r="H409" s="8"/>
    </row>
    <row r="410">
      <c r="B410" s="127"/>
      <c r="C410" s="127"/>
      <c r="G410" s="8"/>
      <c r="H410" s="8"/>
    </row>
    <row r="411">
      <c r="B411" s="127"/>
      <c r="C411" s="127"/>
      <c r="G411" s="8"/>
      <c r="H411" s="8"/>
    </row>
    <row r="412">
      <c r="B412" s="127"/>
      <c r="C412" s="127"/>
      <c r="G412" s="8"/>
      <c r="H412" s="8"/>
    </row>
    <row r="413">
      <c r="B413" s="127"/>
      <c r="C413" s="127"/>
      <c r="G413" s="8"/>
      <c r="H413" s="8"/>
    </row>
    <row r="414">
      <c r="B414" s="127"/>
      <c r="C414" s="127"/>
      <c r="G414" s="8"/>
      <c r="H414" s="8"/>
    </row>
    <row r="415">
      <c r="B415" s="127"/>
      <c r="C415" s="127"/>
      <c r="G415" s="8"/>
      <c r="H415" s="8"/>
    </row>
    <row r="416">
      <c r="B416" s="127"/>
      <c r="C416" s="127"/>
      <c r="G416" s="8"/>
      <c r="H416" s="8"/>
    </row>
    <row r="417">
      <c r="B417" s="127"/>
      <c r="C417" s="127"/>
      <c r="G417" s="8"/>
      <c r="H417" s="8"/>
    </row>
    <row r="418">
      <c r="B418" s="127"/>
      <c r="C418" s="127"/>
      <c r="G418" s="8"/>
      <c r="H418" s="8"/>
    </row>
    <row r="419">
      <c r="B419" s="127"/>
      <c r="C419" s="127"/>
      <c r="G419" s="8"/>
      <c r="H419" s="8"/>
    </row>
    <row r="420">
      <c r="B420" s="127"/>
      <c r="C420" s="127"/>
      <c r="G420" s="8"/>
      <c r="H420" s="8"/>
    </row>
    <row r="421">
      <c r="B421" s="127"/>
      <c r="C421" s="127"/>
      <c r="G421" s="8"/>
      <c r="H421" s="8"/>
    </row>
    <row r="422">
      <c r="B422" s="127"/>
      <c r="C422" s="127"/>
      <c r="G422" s="8"/>
      <c r="H422" s="8"/>
    </row>
    <row r="423">
      <c r="B423" s="127"/>
      <c r="C423" s="127"/>
      <c r="G423" s="8"/>
      <c r="H423" s="8"/>
    </row>
    <row r="424">
      <c r="B424" s="127"/>
      <c r="C424" s="127"/>
      <c r="G424" s="8"/>
      <c r="H424" s="8"/>
    </row>
    <row r="425">
      <c r="B425" s="127"/>
      <c r="C425" s="127"/>
      <c r="G425" s="8"/>
      <c r="H425" s="8"/>
    </row>
    <row r="426">
      <c r="B426" s="127"/>
      <c r="C426" s="127"/>
      <c r="G426" s="8"/>
      <c r="H426" s="8"/>
    </row>
    <row r="427">
      <c r="B427" s="127"/>
      <c r="C427" s="127"/>
      <c r="G427" s="8"/>
      <c r="H427" s="8"/>
    </row>
    <row r="428">
      <c r="B428" s="127"/>
      <c r="C428" s="127"/>
      <c r="G428" s="8"/>
      <c r="H428" s="8"/>
    </row>
    <row r="429">
      <c r="B429" s="127"/>
      <c r="C429" s="127"/>
      <c r="G429" s="8"/>
      <c r="H429" s="8"/>
    </row>
    <row r="430">
      <c r="B430" s="127"/>
      <c r="C430" s="127"/>
      <c r="G430" s="8"/>
      <c r="H430" s="8"/>
    </row>
    <row r="431">
      <c r="B431" s="127"/>
      <c r="C431" s="127"/>
      <c r="G431" s="8"/>
      <c r="H431" s="8"/>
    </row>
    <row r="432">
      <c r="B432" s="127"/>
      <c r="C432" s="127"/>
      <c r="G432" s="8"/>
      <c r="H432" s="8"/>
    </row>
    <row r="433">
      <c r="B433" s="127"/>
      <c r="C433" s="127"/>
      <c r="G433" s="8"/>
      <c r="H433" s="8"/>
    </row>
    <row r="434">
      <c r="B434" s="127"/>
      <c r="C434" s="127"/>
      <c r="G434" s="8"/>
      <c r="H434" s="8"/>
    </row>
    <row r="435">
      <c r="B435" s="127"/>
      <c r="C435" s="127"/>
      <c r="G435" s="8"/>
      <c r="H435" s="8"/>
    </row>
    <row r="436">
      <c r="B436" s="127"/>
      <c r="C436" s="127"/>
      <c r="G436" s="8"/>
      <c r="H436" s="8"/>
    </row>
    <row r="437">
      <c r="B437" s="127"/>
      <c r="C437" s="127"/>
      <c r="G437" s="8"/>
      <c r="H437" s="8"/>
    </row>
    <row r="438">
      <c r="B438" s="127"/>
      <c r="C438" s="127"/>
      <c r="G438" s="8"/>
      <c r="H438" s="8"/>
    </row>
    <row r="439">
      <c r="B439" s="127"/>
      <c r="C439" s="127"/>
      <c r="G439" s="8"/>
      <c r="H439" s="8"/>
    </row>
    <row r="440">
      <c r="B440" s="127"/>
      <c r="C440" s="127"/>
      <c r="G440" s="8"/>
      <c r="H440" s="8"/>
    </row>
    <row r="441">
      <c r="B441" s="127"/>
      <c r="C441" s="127"/>
      <c r="G441" s="8"/>
      <c r="H441" s="8"/>
    </row>
    <row r="442">
      <c r="B442" s="127"/>
      <c r="C442" s="127"/>
      <c r="G442" s="8"/>
      <c r="H442" s="8"/>
    </row>
    <row r="443">
      <c r="B443" s="127"/>
      <c r="C443" s="127"/>
      <c r="G443" s="8"/>
      <c r="H443" s="8"/>
    </row>
    <row r="444">
      <c r="B444" s="127"/>
      <c r="C444" s="127"/>
      <c r="G444" s="8"/>
      <c r="H444" s="8"/>
    </row>
    <row r="445">
      <c r="B445" s="127"/>
      <c r="C445" s="127"/>
      <c r="G445" s="8"/>
      <c r="H445" s="8"/>
    </row>
    <row r="446">
      <c r="B446" s="127"/>
      <c r="C446" s="127"/>
      <c r="G446" s="8"/>
      <c r="H446" s="8"/>
    </row>
    <row r="447">
      <c r="B447" s="127"/>
      <c r="C447" s="127"/>
      <c r="G447" s="8"/>
      <c r="H447" s="8"/>
    </row>
    <row r="448">
      <c r="B448" s="127"/>
      <c r="C448" s="127"/>
      <c r="G448" s="8"/>
      <c r="H448" s="8"/>
    </row>
    <row r="449">
      <c r="B449" s="127"/>
      <c r="C449" s="127"/>
      <c r="G449" s="8"/>
      <c r="H449" s="8"/>
    </row>
    <row r="450">
      <c r="B450" s="127"/>
      <c r="C450" s="127"/>
      <c r="G450" s="8"/>
      <c r="H450" s="8"/>
    </row>
    <row r="451">
      <c r="B451" s="127"/>
      <c r="C451" s="127"/>
      <c r="G451" s="8"/>
      <c r="H451" s="8"/>
    </row>
    <row r="452">
      <c r="B452" s="127"/>
      <c r="C452" s="127"/>
      <c r="G452" s="8"/>
      <c r="H452" s="8"/>
    </row>
    <row r="453">
      <c r="B453" s="127"/>
      <c r="C453" s="127"/>
      <c r="G453" s="8"/>
      <c r="H453" s="8"/>
    </row>
    <row r="454">
      <c r="B454" s="127"/>
      <c r="C454" s="127"/>
      <c r="G454" s="8"/>
      <c r="H454" s="8"/>
    </row>
    <row r="455">
      <c r="B455" s="127"/>
      <c r="C455" s="127"/>
      <c r="G455" s="8"/>
      <c r="H455" s="8"/>
    </row>
    <row r="456">
      <c r="B456" s="127"/>
      <c r="C456" s="127"/>
      <c r="G456" s="8"/>
      <c r="H456" s="8"/>
    </row>
    <row r="457">
      <c r="B457" s="127"/>
      <c r="C457" s="127"/>
      <c r="G457" s="8"/>
      <c r="H457" s="8"/>
    </row>
    <row r="458">
      <c r="B458" s="127"/>
      <c r="C458" s="127"/>
      <c r="G458" s="8"/>
      <c r="H458" s="8"/>
    </row>
    <row r="459">
      <c r="B459" s="127"/>
      <c r="C459" s="127"/>
      <c r="G459" s="8"/>
      <c r="H459" s="8"/>
    </row>
    <row r="460">
      <c r="B460" s="127"/>
      <c r="C460" s="127"/>
      <c r="G460" s="8"/>
      <c r="H460" s="8"/>
    </row>
    <row r="461">
      <c r="B461" s="127"/>
      <c r="C461" s="127"/>
      <c r="G461" s="8"/>
      <c r="H461" s="8"/>
    </row>
    <row r="462">
      <c r="B462" s="127"/>
      <c r="C462" s="127"/>
      <c r="G462" s="8"/>
      <c r="H462" s="8"/>
    </row>
    <row r="463">
      <c r="B463" s="127"/>
      <c r="C463" s="127"/>
      <c r="G463" s="8"/>
      <c r="H463" s="8"/>
    </row>
    <row r="464">
      <c r="B464" s="127"/>
      <c r="C464" s="127"/>
      <c r="G464" s="8"/>
      <c r="H464" s="8"/>
    </row>
    <row r="465">
      <c r="B465" s="127"/>
      <c r="C465" s="127"/>
      <c r="G465" s="8"/>
      <c r="H465" s="8"/>
    </row>
    <row r="466">
      <c r="B466" s="127"/>
      <c r="C466" s="127"/>
      <c r="G466" s="8"/>
      <c r="H466" s="8"/>
    </row>
    <row r="467">
      <c r="B467" s="127"/>
      <c r="C467" s="127"/>
      <c r="G467" s="8"/>
      <c r="H467" s="8"/>
    </row>
    <row r="468">
      <c r="B468" s="127"/>
      <c r="C468" s="127"/>
      <c r="G468" s="8"/>
      <c r="H468" s="8"/>
    </row>
    <row r="469">
      <c r="B469" s="127"/>
      <c r="C469" s="127"/>
      <c r="G469" s="8"/>
      <c r="H469" s="8"/>
    </row>
    <row r="470">
      <c r="B470" s="127"/>
      <c r="C470" s="127"/>
      <c r="G470" s="8"/>
      <c r="H470" s="8"/>
    </row>
    <row r="471">
      <c r="B471" s="127"/>
      <c r="C471" s="127"/>
      <c r="G471" s="8"/>
      <c r="H471" s="8"/>
    </row>
    <row r="472">
      <c r="B472" s="127"/>
      <c r="C472" s="127"/>
      <c r="G472" s="8"/>
      <c r="H472" s="8"/>
    </row>
    <row r="473">
      <c r="B473" s="127"/>
      <c r="C473" s="127"/>
      <c r="G473" s="8"/>
      <c r="H473" s="8"/>
    </row>
    <row r="474">
      <c r="B474" s="127"/>
      <c r="C474" s="127"/>
      <c r="G474" s="8"/>
      <c r="H474" s="8"/>
    </row>
    <row r="475">
      <c r="B475" s="127"/>
      <c r="C475" s="127"/>
      <c r="G475" s="8"/>
      <c r="H475" s="8"/>
    </row>
    <row r="476">
      <c r="B476" s="127"/>
      <c r="C476" s="127"/>
      <c r="G476" s="8"/>
      <c r="H476" s="8"/>
    </row>
    <row r="477">
      <c r="B477" s="127"/>
      <c r="C477" s="127"/>
      <c r="G477" s="8"/>
      <c r="H477" s="8"/>
    </row>
    <row r="478">
      <c r="B478" s="127"/>
      <c r="C478" s="127"/>
      <c r="G478" s="8"/>
      <c r="H478" s="8"/>
    </row>
    <row r="479">
      <c r="B479" s="127"/>
      <c r="C479" s="127"/>
      <c r="G479" s="8"/>
      <c r="H479" s="8"/>
    </row>
    <row r="480">
      <c r="B480" s="127"/>
      <c r="C480" s="127"/>
      <c r="G480" s="8"/>
      <c r="H480" s="8"/>
    </row>
    <row r="481">
      <c r="B481" s="127"/>
      <c r="C481" s="127"/>
      <c r="G481" s="8"/>
      <c r="H481" s="8"/>
    </row>
    <row r="482">
      <c r="B482" s="127"/>
      <c r="C482" s="127"/>
      <c r="G482" s="8"/>
      <c r="H482" s="8"/>
    </row>
    <row r="483">
      <c r="B483" s="127"/>
      <c r="C483" s="127"/>
      <c r="G483" s="8"/>
      <c r="H483" s="8"/>
    </row>
    <row r="484">
      <c r="B484" s="127"/>
      <c r="C484" s="127"/>
      <c r="G484" s="8"/>
      <c r="H484" s="8"/>
    </row>
    <row r="485">
      <c r="B485" s="127"/>
      <c r="C485" s="127"/>
      <c r="G485" s="8"/>
      <c r="H485" s="8"/>
    </row>
    <row r="486">
      <c r="B486" s="127"/>
      <c r="C486" s="127"/>
      <c r="G486" s="8"/>
      <c r="H486" s="8"/>
    </row>
    <row r="487">
      <c r="B487" s="127"/>
      <c r="C487" s="127"/>
      <c r="G487" s="8"/>
      <c r="H487" s="8"/>
    </row>
    <row r="488">
      <c r="B488" s="127"/>
      <c r="C488" s="127"/>
      <c r="G488" s="8"/>
      <c r="H488" s="8"/>
    </row>
    <row r="489">
      <c r="B489" s="127"/>
      <c r="C489" s="127"/>
      <c r="G489" s="8"/>
      <c r="H489" s="8"/>
    </row>
    <row r="490">
      <c r="B490" s="127"/>
      <c r="C490" s="127"/>
      <c r="G490" s="8"/>
      <c r="H490" s="8"/>
    </row>
    <row r="491">
      <c r="B491" s="127"/>
      <c r="C491" s="127"/>
      <c r="G491" s="8"/>
      <c r="H491" s="8"/>
    </row>
    <row r="492">
      <c r="B492" s="127"/>
      <c r="C492" s="127"/>
      <c r="G492" s="8"/>
      <c r="H492" s="8"/>
    </row>
    <row r="493">
      <c r="B493" s="127"/>
      <c r="C493" s="127"/>
      <c r="G493" s="8"/>
      <c r="H493" s="8"/>
    </row>
    <row r="494">
      <c r="B494" s="127"/>
      <c r="C494" s="127"/>
      <c r="G494" s="8"/>
      <c r="H494" s="8"/>
    </row>
    <row r="495">
      <c r="B495" s="127"/>
      <c r="C495" s="127"/>
      <c r="G495" s="8"/>
      <c r="H495" s="8"/>
    </row>
    <row r="496">
      <c r="B496" s="127"/>
      <c r="C496" s="127"/>
      <c r="G496" s="8"/>
      <c r="H496" s="8"/>
    </row>
    <row r="497">
      <c r="B497" s="127"/>
      <c r="C497" s="127"/>
      <c r="G497" s="8"/>
      <c r="H497" s="8"/>
    </row>
    <row r="498">
      <c r="B498" s="127"/>
      <c r="C498" s="127"/>
      <c r="G498" s="8"/>
      <c r="H498" s="8"/>
    </row>
    <row r="499">
      <c r="B499" s="127"/>
      <c r="C499" s="127"/>
      <c r="G499" s="8"/>
      <c r="H499" s="8"/>
    </row>
    <row r="500">
      <c r="B500" s="127"/>
      <c r="C500" s="127"/>
      <c r="G500" s="8"/>
      <c r="H500" s="8"/>
    </row>
    <row r="501">
      <c r="B501" s="127"/>
      <c r="C501" s="127"/>
      <c r="G501" s="8"/>
      <c r="H501" s="8"/>
    </row>
    <row r="502">
      <c r="B502" s="127"/>
      <c r="C502" s="127"/>
      <c r="G502" s="8"/>
      <c r="H502" s="8"/>
    </row>
    <row r="503">
      <c r="B503" s="127"/>
      <c r="C503" s="127"/>
      <c r="G503" s="8"/>
      <c r="H503" s="8"/>
    </row>
    <row r="504">
      <c r="B504" s="127"/>
      <c r="C504" s="127"/>
      <c r="G504" s="8"/>
      <c r="H504" s="8"/>
    </row>
    <row r="505">
      <c r="B505" s="127"/>
      <c r="C505" s="127"/>
      <c r="G505" s="8"/>
      <c r="H505" s="8"/>
    </row>
    <row r="506">
      <c r="B506" s="127"/>
      <c r="C506" s="127"/>
      <c r="G506" s="8"/>
      <c r="H506" s="8"/>
    </row>
    <row r="507">
      <c r="B507" s="127"/>
      <c r="C507" s="127"/>
      <c r="G507" s="8"/>
      <c r="H507" s="8"/>
    </row>
    <row r="508">
      <c r="B508" s="127"/>
      <c r="C508" s="127"/>
      <c r="G508" s="8"/>
      <c r="H508" s="8"/>
    </row>
    <row r="509">
      <c r="B509" s="127"/>
      <c r="C509" s="127"/>
      <c r="G509" s="8"/>
      <c r="H509" s="8"/>
    </row>
    <row r="510">
      <c r="B510" s="127"/>
      <c r="C510" s="127"/>
      <c r="G510" s="8"/>
      <c r="H510" s="8"/>
    </row>
    <row r="511">
      <c r="B511" s="127"/>
      <c r="C511" s="127"/>
      <c r="G511" s="8"/>
      <c r="H511" s="8"/>
    </row>
    <row r="512">
      <c r="B512" s="127"/>
      <c r="C512" s="127"/>
      <c r="G512" s="8"/>
      <c r="H512" s="8"/>
    </row>
    <row r="513">
      <c r="B513" s="127"/>
      <c r="C513" s="127"/>
      <c r="G513" s="8"/>
      <c r="H513" s="8"/>
    </row>
    <row r="514">
      <c r="B514" s="127"/>
      <c r="C514" s="127"/>
      <c r="G514" s="8"/>
      <c r="H514" s="8"/>
    </row>
    <row r="515">
      <c r="B515" s="127"/>
      <c r="C515" s="127"/>
      <c r="G515" s="8"/>
      <c r="H515" s="8"/>
    </row>
    <row r="516">
      <c r="B516" s="127"/>
      <c r="C516" s="127"/>
      <c r="G516" s="8"/>
      <c r="H516" s="8"/>
    </row>
    <row r="517">
      <c r="B517" s="127"/>
      <c r="C517" s="127"/>
      <c r="G517" s="8"/>
      <c r="H517" s="8"/>
    </row>
    <row r="518">
      <c r="B518" s="127"/>
      <c r="C518" s="127"/>
      <c r="G518" s="8"/>
      <c r="H518" s="8"/>
    </row>
    <row r="519">
      <c r="B519" s="127"/>
      <c r="C519" s="127"/>
      <c r="G519" s="8"/>
      <c r="H519" s="8"/>
    </row>
    <row r="520">
      <c r="B520" s="127"/>
      <c r="C520" s="127"/>
      <c r="G520" s="8"/>
      <c r="H520" s="8"/>
    </row>
    <row r="521">
      <c r="B521" s="127"/>
      <c r="C521" s="127"/>
      <c r="G521" s="8"/>
      <c r="H521" s="8"/>
    </row>
    <row r="522">
      <c r="B522" s="127"/>
      <c r="C522" s="127"/>
      <c r="G522" s="8"/>
      <c r="H522" s="8"/>
    </row>
    <row r="523">
      <c r="B523" s="127"/>
      <c r="C523" s="127"/>
      <c r="G523" s="8"/>
      <c r="H523" s="8"/>
    </row>
    <row r="524">
      <c r="B524" s="127"/>
      <c r="C524" s="127"/>
      <c r="G524" s="8"/>
      <c r="H524" s="8"/>
    </row>
    <row r="525">
      <c r="B525" s="127"/>
      <c r="C525" s="127"/>
      <c r="G525" s="8"/>
      <c r="H525" s="8"/>
    </row>
    <row r="526">
      <c r="B526" s="127"/>
      <c r="C526" s="127"/>
      <c r="G526" s="8"/>
      <c r="H526" s="8"/>
    </row>
    <row r="527">
      <c r="B527" s="127"/>
      <c r="C527" s="127"/>
      <c r="G527" s="8"/>
      <c r="H527" s="8"/>
    </row>
    <row r="528">
      <c r="B528" s="127"/>
      <c r="C528" s="127"/>
      <c r="G528" s="8"/>
      <c r="H528" s="8"/>
    </row>
    <row r="529">
      <c r="B529" s="127"/>
      <c r="C529" s="127"/>
      <c r="G529" s="8"/>
      <c r="H529" s="8"/>
    </row>
    <row r="530">
      <c r="B530" s="127"/>
      <c r="C530" s="127"/>
      <c r="G530" s="8"/>
      <c r="H530" s="8"/>
    </row>
    <row r="531">
      <c r="B531" s="127"/>
      <c r="C531" s="127"/>
      <c r="G531" s="8"/>
      <c r="H531" s="8"/>
    </row>
    <row r="532">
      <c r="B532" s="127"/>
      <c r="C532" s="127"/>
      <c r="G532" s="8"/>
      <c r="H532" s="8"/>
    </row>
    <row r="533">
      <c r="B533" s="127"/>
      <c r="C533" s="127"/>
      <c r="G533" s="8"/>
      <c r="H533" s="8"/>
    </row>
    <row r="534">
      <c r="B534" s="127"/>
      <c r="C534" s="127"/>
      <c r="G534" s="8"/>
      <c r="H534" s="8"/>
    </row>
    <row r="535">
      <c r="B535" s="127"/>
      <c r="C535" s="127"/>
      <c r="G535" s="8"/>
      <c r="H535" s="8"/>
    </row>
    <row r="536">
      <c r="B536" s="127"/>
      <c r="C536" s="127"/>
      <c r="G536" s="8"/>
      <c r="H536" s="8"/>
    </row>
    <row r="537">
      <c r="B537" s="127"/>
      <c r="C537" s="127"/>
      <c r="G537" s="8"/>
      <c r="H537" s="8"/>
    </row>
    <row r="538">
      <c r="B538" s="127"/>
      <c r="C538" s="127"/>
      <c r="G538" s="8"/>
      <c r="H538" s="8"/>
    </row>
    <row r="539">
      <c r="B539" s="127"/>
      <c r="C539" s="127"/>
      <c r="G539" s="8"/>
      <c r="H539" s="8"/>
    </row>
    <row r="540">
      <c r="B540" s="127"/>
      <c r="C540" s="127"/>
      <c r="G540" s="8"/>
      <c r="H540" s="8"/>
    </row>
    <row r="541">
      <c r="B541" s="127"/>
      <c r="C541" s="127"/>
      <c r="G541" s="8"/>
      <c r="H541" s="8"/>
    </row>
    <row r="542">
      <c r="B542" s="127"/>
      <c r="C542" s="127"/>
      <c r="G542" s="8"/>
      <c r="H542" s="8"/>
    </row>
    <row r="543">
      <c r="B543" s="127"/>
      <c r="C543" s="127"/>
      <c r="G543" s="8"/>
      <c r="H543" s="8"/>
    </row>
    <row r="544">
      <c r="B544" s="127"/>
      <c r="C544" s="127"/>
      <c r="G544" s="8"/>
      <c r="H544" s="8"/>
    </row>
    <row r="545">
      <c r="B545" s="127"/>
      <c r="C545" s="127"/>
      <c r="G545" s="8"/>
      <c r="H545" s="8"/>
    </row>
    <row r="546">
      <c r="B546" s="127"/>
      <c r="C546" s="127"/>
      <c r="G546" s="8"/>
      <c r="H546" s="8"/>
    </row>
    <row r="547">
      <c r="B547" s="127"/>
      <c r="C547" s="127"/>
      <c r="G547" s="8"/>
      <c r="H547" s="8"/>
    </row>
    <row r="548">
      <c r="B548" s="127"/>
      <c r="C548" s="127"/>
      <c r="G548" s="8"/>
      <c r="H548" s="8"/>
    </row>
    <row r="549">
      <c r="B549" s="127"/>
      <c r="C549" s="127"/>
      <c r="G549" s="8"/>
      <c r="H549" s="8"/>
    </row>
    <row r="550">
      <c r="B550" s="127"/>
      <c r="C550" s="127"/>
      <c r="G550" s="8"/>
      <c r="H550" s="8"/>
    </row>
    <row r="551">
      <c r="B551" s="127"/>
      <c r="C551" s="127"/>
      <c r="G551" s="8"/>
      <c r="H551" s="8"/>
    </row>
    <row r="552">
      <c r="B552" s="127"/>
      <c r="C552" s="127"/>
      <c r="G552" s="8"/>
      <c r="H552" s="8"/>
    </row>
    <row r="553">
      <c r="B553" s="127"/>
      <c r="C553" s="127"/>
      <c r="G553" s="8"/>
      <c r="H553" s="8"/>
    </row>
    <row r="554">
      <c r="B554" s="127"/>
      <c r="C554" s="127"/>
      <c r="G554" s="8"/>
      <c r="H554" s="8"/>
    </row>
    <row r="555">
      <c r="B555" s="127"/>
      <c r="C555" s="127"/>
      <c r="G555" s="8"/>
      <c r="H555" s="8"/>
    </row>
    <row r="556">
      <c r="B556" s="127"/>
      <c r="C556" s="127"/>
      <c r="G556" s="8"/>
      <c r="H556" s="8"/>
    </row>
    <row r="557">
      <c r="B557" s="127"/>
      <c r="C557" s="127"/>
      <c r="G557" s="8"/>
      <c r="H557" s="8"/>
    </row>
    <row r="558">
      <c r="B558" s="127"/>
      <c r="C558" s="127"/>
      <c r="G558" s="8"/>
      <c r="H558" s="8"/>
    </row>
    <row r="559">
      <c r="B559" s="127"/>
      <c r="C559" s="127"/>
      <c r="G559" s="8"/>
      <c r="H559" s="8"/>
    </row>
    <row r="560">
      <c r="B560" s="127"/>
      <c r="C560" s="127"/>
      <c r="G560" s="8"/>
      <c r="H560" s="8"/>
    </row>
    <row r="561">
      <c r="B561" s="127"/>
      <c r="C561" s="127"/>
      <c r="G561" s="8"/>
      <c r="H561" s="8"/>
    </row>
    <row r="562">
      <c r="B562" s="127"/>
      <c r="C562" s="127"/>
      <c r="G562" s="8"/>
      <c r="H562" s="8"/>
    </row>
    <row r="563">
      <c r="B563" s="127"/>
      <c r="C563" s="127"/>
      <c r="G563" s="8"/>
      <c r="H563" s="8"/>
    </row>
    <row r="564">
      <c r="B564" s="127"/>
      <c r="C564" s="127"/>
      <c r="G564" s="8"/>
      <c r="H564" s="8"/>
    </row>
    <row r="565">
      <c r="B565" s="127"/>
      <c r="C565" s="127"/>
      <c r="G565" s="8"/>
      <c r="H565" s="8"/>
    </row>
    <row r="566">
      <c r="B566" s="127"/>
      <c r="C566" s="127"/>
      <c r="G566" s="8"/>
      <c r="H566" s="8"/>
    </row>
    <row r="567">
      <c r="B567" s="127"/>
      <c r="C567" s="127"/>
      <c r="G567" s="8"/>
      <c r="H567" s="8"/>
    </row>
    <row r="568">
      <c r="B568" s="127"/>
      <c r="C568" s="127"/>
      <c r="G568" s="8"/>
      <c r="H568" s="8"/>
    </row>
    <row r="569">
      <c r="B569" s="127"/>
      <c r="C569" s="127"/>
      <c r="G569" s="8"/>
      <c r="H569" s="8"/>
    </row>
    <row r="570">
      <c r="B570" s="127"/>
      <c r="C570" s="127"/>
      <c r="G570" s="8"/>
      <c r="H570" s="8"/>
    </row>
    <row r="571">
      <c r="B571" s="127"/>
      <c r="C571" s="127"/>
      <c r="G571" s="8"/>
      <c r="H571" s="8"/>
    </row>
    <row r="572">
      <c r="B572" s="127"/>
      <c r="C572" s="127"/>
      <c r="G572" s="8"/>
      <c r="H572" s="8"/>
    </row>
    <row r="573">
      <c r="B573" s="127"/>
      <c r="C573" s="127"/>
      <c r="G573" s="8"/>
      <c r="H573" s="8"/>
    </row>
    <row r="574">
      <c r="B574" s="127"/>
      <c r="C574" s="127"/>
      <c r="G574" s="8"/>
      <c r="H574" s="8"/>
    </row>
    <row r="575">
      <c r="B575" s="127"/>
      <c r="C575" s="127"/>
      <c r="G575" s="8"/>
      <c r="H575" s="8"/>
    </row>
    <row r="576">
      <c r="B576" s="127"/>
      <c r="C576" s="127"/>
      <c r="G576" s="8"/>
      <c r="H576" s="8"/>
    </row>
    <row r="577">
      <c r="B577" s="127"/>
      <c r="C577" s="127"/>
      <c r="G577" s="8"/>
      <c r="H577" s="8"/>
    </row>
    <row r="578">
      <c r="B578" s="127"/>
      <c r="C578" s="127"/>
      <c r="G578" s="8"/>
      <c r="H578" s="8"/>
    </row>
    <row r="579">
      <c r="B579" s="127"/>
      <c r="C579" s="127"/>
      <c r="G579" s="8"/>
      <c r="H579" s="8"/>
    </row>
    <row r="580">
      <c r="B580" s="127"/>
      <c r="C580" s="127"/>
      <c r="G580" s="8"/>
      <c r="H580" s="8"/>
    </row>
    <row r="581">
      <c r="B581" s="127"/>
      <c r="C581" s="127"/>
      <c r="G581" s="8"/>
      <c r="H581" s="8"/>
    </row>
    <row r="582">
      <c r="B582" s="127"/>
      <c r="C582" s="127"/>
      <c r="G582" s="8"/>
      <c r="H582" s="8"/>
    </row>
    <row r="583">
      <c r="B583" s="127"/>
      <c r="C583" s="127"/>
      <c r="G583" s="8"/>
      <c r="H583" s="8"/>
    </row>
    <row r="584">
      <c r="B584" s="127"/>
      <c r="C584" s="127"/>
      <c r="G584" s="8"/>
      <c r="H584" s="8"/>
    </row>
    <row r="585">
      <c r="B585" s="127"/>
      <c r="C585" s="127"/>
      <c r="G585" s="8"/>
      <c r="H585" s="8"/>
    </row>
    <row r="586">
      <c r="B586" s="127"/>
      <c r="C586" s="127"/>
      <c r="G586" s="8"/>
      <c r="H586" s="8"/>
    </row>
    <row r="587">
      <c r="B587" s="127"/>
      <c r="C587" s="127"/>
      <c r="G587" s="8"/>
      <c r="H587" s="8"/>
    </row>
    <row r="588">
      <c r="B588" s="127"/>
      <c r="C588" s="127"/>
      <c r="G588" s="8"/>
      <c r="H588" s="8"/>
    </row>
    <row r="589">
      <c r="B589" s="127"/>
      <c r="C589" s="127"/>
      <c r="G589" s="8"/>
      <c r="H589" s="8"/>
    </row>
    <row r="590">
      <c r="B590" s="127"/>
      <c r="C590" s="127"/>
      <c r="G590" s="8"/>
      <c r="H590" s="8"/>
    </row>
    <row r="591">
      <c r="B591" s="127"/>
      <c r="C591" s="127"/>
      <c r="G591" s="8"/>
      <c r="H591" s="8"/>
    </row>
    <row r="592">
      <c r="B592" s="127"/>
      <c r="C592" s="127"/>
      <c r="G592" s="8"/>
      <c r="H592" s="8"/>
    </row>
    <row r="593">
      <c r="B593" s="127"/>
      <c r="C593" s="127"/>
      <c r="G593" s="8"/>
      <c r="H593" s="8"/>
    </row>
    <row r="594">
      <c r="B594" s="127"/>
      <c r="C594" s="127"/>
      <c r="G594" s="8"/>
      <c r="H594" s="8"/>
    </row>
    <row r="595">
      <c r="B595" s="127"/>
      <c r="C595" s="127"/>
      <c r="G595" s="8"/>
      <c r="H595" s="8"/>
    </row>
    <row r="596">
      <c r="B596" s="127"/>
      <c r="C596" s="127"/>
      <c r="G596" s="8"/>
      <c r="H596" s="8"/>
    </row>
    <row r="597">
      <c r="B597" s="127"/>
      <c r="C597" s="127"/>
      <c r="G597" s="8"/>
      <c r="H597" s="8"/>
    </row>
    <row r="598">
      <c r="B598" s="127"/>
      <c r="C598" s="127"/>
      <c r="G598" s="8"/>
      <c r="H598" s="8"/>
    </row>
    <row r="599">
      <c r="B599" s="127"/>
      <c r="C599" s="127"/>
      <c r="G599" s="8"/>
      <c r="H599" s="8"/>
    </row>
    <row r="600">
      <c r="B600" s="127"/>
      <c r="C600" s="127"/>
      <c r="G600" s="8"/>
      <c r="H600" s="8"/>
    </row>
    <row r="601">
      <c r="B601" s="127"/>
      <c r="C601" s="127"/>
      <c r="G601" s="8"/>
      <c r="H601" s="8"/>
    </row>
    <row r="602">
      <c r="B602" s="127"/>
      <c r="C602" s="127"/>
      <c r="G602" s="8"/>
      <c r="H602" s="8"/>
    </row>
    <row r="603">
      <c r="B603" s="127"/>
      <c r="C603" s="127"/>
      <c r="G603" s="8"/>
      <c r="H603" s="8"/>
    </row>
    <row r="604">
      <c r="B604" s="127"/>
      <c r="C604" s="127"/>
      <c r="G604" s="8"/>
      <c r="H604" s="8"/>
    </row>
    <row r="605">
      <c r="B605" s="127"/>
      <c r="C605" s="127"/>
      <c r="G605" s="8"/>
      <c r="H605" s="8"/>
    </row>
    <row r="606">
      <c r="B606" s="127"/>
      <c r="C606" s="127"/>
      <c r="G606" s="8"/>
      <c r="H606" s="8"/>
    </row>
    <row r="607">
      <c r="B607" s="127"/>
      <c r="C607" s="127"/>
      <c r="G607" s="8"/>
      <c r="H607" s="8"/>
    </row>
    <row r="608">
      <c r="B608" s="127"/>
      <c r="C608" s="127"/>
      <c r="G608" s="8"/>
      <c r="H608" s="8"/>
    </row>
    <row r="609">
      <c r="B609" s="127"/>
      <c r="C609" s="127"/>
      <c r="G609" s="8"/>
      <c r="H609" s="8"/>
    </row>
    <row r="610">
      <c r="B610" s="127"/>
      <c r="C610" s="127"/>
      <c r="G610" s="8"/>
      <c r="H610" s="8"/>
    </row>
    <row r="611">
      <c r="B611" s="127"/>
      <c r="C611" s="127"/>
      <c r="G611" s="8"/>
      <c r="H611" s="8"/>
    </row>
    <row r="612">
      <c r="B612" s="127"/>
      <c r="C612" s="127"/>
      <c r="G612" s="8"/>
      <c r="H612" s="8"/>
    </row>
    <row r="613">
      <c r="B613" s="127"/>
      <c r="C613" s="127"/>
      <c r="G613" s="8"/>
      <c r="H613" s="8"/>
    </row>
    <row r="614">
      <c r="B614" s="127"/>
      <c r="C614" s="127"/>
      <c r="G614" s="8"/>
      <c r="H614" s="8"/>
    </row>
    <row r="615">
      <c r="B615" s="127"/>
      <c r="C615" s="127"/>
      <c r="G615" s="8"/>
      <c r="H615" s="8"/>
    </row>
    <row r="616">
      <c r="B616" s="127"/>
      <c r="C616" s="127"/>
      <c r="G616" s="8"/>
      <c r="H616" s="8"/>
    </row>
    <row r="617">
      <c r="B617" s="127"/>
      <c r="C617" s="127"/>
      <c r="G617" s="8"/>
      <c r="H617" s="8"/>
    </row>
    <row r="618">
      <c r="B618" s="127"/>
      <c r="C618" s="127"/>
      <c r="G618" s="8"/>
      <c r="H618" s="8"/>
    </row>
    <row r="619">
      <c r="B619" s="127"/>
      <c r="C619" s="127"/>
      <c r="G619" s="8"/>
      <c r="H619" s="8"/>
    </row>
    <row r="620">
      <c r="B620" s="127"/>
      <c r="C620" s="127"/>
      <c r="G620" s="8"/>
      <c r="H620" s="8"/>
    </row>
    <row r="621">
      <c r="B621" s="127"/>
      <c r="C621" s="127"/>
      <c r="G621" s="8"/>
      <c r="H621" s="8"/>
    </row>
    <row r="622">
      <c r="B622" s="127"/>
      <c r="C622" s="127"/>
      <c r="G622" s="8"/>
      <c r="H622" s="8"/>
    </row>
    <row r="623">
      <c r="B623" s="127"/>
      <c r="C623" s="127"/>
      <c r="G623" s="8"/>
      <c r="H623" s="8"/>
    </row>
    <row r="624">
      <c r="B624" s="127"/>
      <c r="C624" s="127"/>
      <c r="G624" s="8"/>
      <c r="H624" s="8"/>
    </row>
    <row r="625">
      <c r="B625" s="127"/>
      <c r="C625" s="127"/>
      <c r="G625" s="8"/>
      <c r="H625" s="8"/>
    </row>
    <row r="626">
      <c r="B626" s="127"/>
      <c r="C626" s="127"/>
      <c r="G626" s="8"/>
      <c r="H626" s="8"/>
    </row>
    <row r="627">
      <c r="B627" s="127"/>
      <c r="C627" s="127"/>
      <c r="G627" s="8"/>
      <c r="H627" s="8"/>
    </row>
    <row r="628">
      <c r="B628" s="127"/>
      <c r="C628" s="127"/>
      <c r="G628" s="8"/>
      <c r="H628" s="8"/>
    </row>
    <row r="629">
      <c r="B629" s="127"/>
      <c r="C629" s="127"/>
      <c r="G629" s="8"/>
      <c r="H629" s="8"/>
    </row>
    <row r="630">
      <c r="B630" s="127"/>
      <c r="C630" s="127"/>
      <c r="G630" s="8"/>
      <c r="H630" s="8"/>
    </row>
    <row r="631">
      <c r="B631" s="127"/>
      <c r="C631" s="127"/>
      <c r="G631" s="8"/>
      <c r="H631" s="8"/>
    </row>
    <row r="632">
      <c r="B632" s="127"/>
      <c r="C632" s="127"/>
      <c r="G632" s="8"/>
      <c r="H632" s="8"/>
    </row>
    <row r="633">
      <c r="B633" s="127"/>
      <c r="C633" s="127"/>
      <c r="G633" s="8"/>
      <c r="H633" s="8"/>
    </row>
    <row r="634">
      <c r="B634" s="127"/>
      <c r="C634" s="127"/>
      <c r="G634" s="8"/>
      <c r="H634" s="8"/>
    </row>
    <row r="635">
      <c r="B635" s="127"/>
      <c r="C635" s="127"/>
      <c r="G635" s="8"/>
      <c r="H635" s="8"/>
    </row>
    <row r="636">
      <c r="B636" s="127"/>
      <c r="C636" s="127"/>
      <c r="G636" s="8"/>
      <c r="H636" s="8"/>
    </row>
    <row r="637">
      <c r="B637" s="127"/>
      <c r="C637" s="127"/>
      <c r="G637" s="8"/>
      <c r="H637" s="8"/>
    </row>
    <row r="638">
      <c r="B638" s="127"/>
      <c r="C638" s="127"/>
      <c r="G638" s="8"/>
      <c r="H638" s="8"/>
    </row>
    <row r="639">
      <c r="B639" s="127"/>
      <c r="C639" s="127"/>
      <c r="G639" s="8"/>
      <c r="H639" s="8"/>
    </row>
    <row r="640">
      <c r="B640" s="127"/>
      <c r="C640" s="127"/>
      <c r="G640" s="8"/>
      <c r="H640" s="8"/>
    </row>
    <row r="641">
      <c r="B641" s="127"/>
      <c r="C641" s="127"/>
      <c r="G641" s="8"/>
      <c r="H641" s="8"/>
    </row>
    <row r="642">
      <c r="B642" s="127"/>
      <c r="C642" s="127"/>
      <c r="G642" s="8"/>
      <c r="H642" s="8"/>
    </row>
    <row r="643">
      <c r="B643" s="127"/>
      <c r="C643" s="127"/>
      <c r="G643" s="8"/>
      <c r="H643" s="8"/>
    </row>
    <row r="644">
      <c r="B644" s="127"/>
      <c r="C644" s="127"/>
      <c r="G644" s="8"/>
      <c r="H644" s="8"/>
    </row>
    <row r="645">
      <c r="B645" s="127"/>
      <c r="C645" s="127"/>
      <c r="G645" s="8"/>
      <c r="H645" s="8"/>
    </row>
    <row r="646">
      <c r="B646" s="127"/>
      <c r="C646" s="127"/>
      <c r="G646" s="8"/>
      <c r="H646" s="8"/>
    </row>
    <row r="647">
      <c r="B647" s="127"/>
      <c r="C647" s="127"/>
      <c r="G647" s="8"/>
      <c r="H647" s="8"/>
    </row>
    <row r="648">
      <c r="B648" s="127"/>
      <c r="C648" s="127"/>
      <c r="G648" s="8"/>
      <c r="H648" s="8"/>
    </row>
    <row r="649">
      <c r="B649" s="127"/>
      <c r="C649" s="127"/>
      <c r="G649" s="8"/>
      <c r="H649" s="8"/>
    </row>
    <row r="650">
      <c r="B650" s="127"/>
      <c r="C650" s="127"/>
      <c r="G650" s="8"/>
      <c r="H650" s="8"/>
    </row>
    <row r="651">
      <c r="B651" s="127"/>
      <c r="C651" s="127"/>
      <c r="G651" s="8"/>
      <c r="H651" s="8"/>
    </row>
    <row r="652">
      <c r="B652" s="127"/>
      <c r="C652" s="127"/>
      <c r="G652" s="8"/>
      <c r="H652" s="8"/>
    </row>
    <row r="653">
      <c r="B653" s="127"/>
      <c r="C653" s="127"/>
      <c r="G653" s="8"/>
      <c r="H653" s="8"/>
    </row>
    <row r="654">
      <c r="B654" s="127"/>
      <c r="C654" s="127"/>
      <c r="G654" s="8"/>
      <c r="H654" s="8"/>
    </row>
    <row r="655">
      <c r="B655" s="127"/>
      <c r="C655" s="127"/>
      <c r="G655" s="8"/>
      <c r="H655" s="8"/>
    </row>
    <row r="656">
      <c r="B656" s="127"/>
      <c r="C656" s="127"/>
      <c r="G656" s="8"/>
      <c r="H656" s="8"/>
    </row>
    <row r="657">
      <c r="B657" s="127"/>
      <c r="C657" s="127"/>
      <c r="G657" s="8"/>
      <c r="H657" s="8"/>
    </row>
    <row r="658">
      <c r="B658" s="127"/>
      <c r="C658" s="127"/>
      <c r="G658" s="8"/>
      <c r="H658" s="8"/>
    </row>
    <row r="659">
      <c r="B659" s="127"/>
      <c r="C659" s="127"/>
      <c r="G659" s="8"/>
      <c r="H659" s="8"/>
    </row>
    <row r="660">
      <c r="B660" s="127"/>
      <c r="C660" s="127"/>
      <c r="G660" s="8"/>
      <c r="H660" s="8"/>
    </row>
    <row r="661">
      <c r="B661" s="127"/>
      <c r="C661" s="127"/>
      <c r="G661" s="8"/>
      <c r="H661" s="8"/>
    </row>
    <row r="662">
      <c r="B662" s="127"/>
      <c r="C662" s="127"/>
      <c r="G662" s="8"/>
      <c r="H662" s="8"/>
    </row>
    <row r="663">
      <c r="B663" s="127"/>
      <c r="C663" s="127"/>
      <c r="G663" s="8"/>
      <c r="H663" s="8"/>
    </row>
    <row r="664">
      <c r="B664" s="127"/>
      <c r="C664" s="127"/>
      <c r="G664" s="8"/>
      <c r="H664" s="8"/>
    </row>
    <row r="665">
      <c r="B665" s="127"/>
      <c r="C665" s="127"/>
      <c r="G665" s="8"/>
      <c r="H665" s="8"/>
    </row>
    <row r="666">
      <c r="B666" s="127"/>
      <c r="C666" s="127"/>
      <c r="G666" s="8"/>
      <c r="H666" s="8"/>
    </row>
    <row r="667">
      <c r="B667" s="127"/>
      <c r="C667" s="127"/>
      <c r="G667" s="8"/>
      <c r="H667" s="8"/>
    </row>
    <row r="668">
      <c r="B668" s="127"/>
      <c r="C668" s="127"/>
      <c r="G668" s="8"/>
      <c r="H668" s="8"/>
    </row>
    <row r="669">
      <c r="B669" s="127"/>
      <c r="C669" s="127"/>
      <c r="G669" s="8"/>
      <c r="H669" s="8"/>
    </row>
    <row r="670">
      <c r="B670" s="127"/>
      <c r="C670" s="127"/>
      <c r="G670" s="8"/>
      <c r="H670" s="8"/>
    </row>
    <row r="671">
      <c r="B671" s="127"/>
      <c r="C671" s="127"/>
      <c r="G671" s="8"/>
      <c r="H671" s="8"/>
    </row>
    <row r="672">
      <c r="B672" s="127"/>
      <c r="C672" s="127"/>
      <c r="G672" s="8"/>
      <c r="H672" s="8"/>
    </row>
    <row r="673">
      <c r="B673" s="127"/>
      <c r="C673" s="127"/>
      <c r="G673" s="8"/>
      <c r="H673" s="8"/>
    </row>
    <row r="674">
      <c r="B674" s="127"/>
      <c r="C674" s="127"/>
      <c r="G674" s="8"/>
      <c r="H674" s="8"/>
    </row>
    <row r="675">
      <c r="B675" s="127"/>
      <c r="C675" s="127"/>
      <c r="G675" s="8"/>
      <c r="H675" s="8"/>
    </row>
    <row r="676">
      <c r="B676" s="127"/>
      <c r="C676" s="127"/>
      <c r="G676" s="8"/>
      <c r="H676" s="8"/>
    </row>
    <row r="677">
      <c r="B677" s="127"/>
      <c r="C677" s="127"/>
      <c r="G677" s="8"/>
      <c r="H677" s="8"/>
    </row>
    <row r="678">
      <c r="B678" s="127"/>
      <c r="C678" s="127"/>
      <c r="G678" s="8"/>
      <c r="H678" s="8"/>
    </row>
    <row r="679">
      <c r="B679" s="127"/>
      <c r="C679" s="127"/>
      <c r="G679" s="8"/>
      <c r="H679" s="8"/>
    </row>
    <row r="680">
      <c r="B680" s="127"/>
      <c r="C680" s="127"/>
      <c r="G680" s="8"/>
      <c r="H680" s="8"/>
    </row>
    <row r="681">
      <c r="B681" s="127"/>
      <c r="C681" s="127"/>
      <c r="G681" s="8"/>
      <c r="H681" s="8"/>
    </row>
    <row r="682">
      <c r="B682" s="127"/>
      <c r="C682" s="127"/>
      <c r="G682" s="8"/>
      <c r="H682" s="8"/>
    </row>
    <row r="683">
      <c r="B683" s="127"/>
      <c r="C683" s="127"/>
      <c r="G683" s="8"/>
      <c r="H683" s="8"/>
    </row>
    <row r="684">
      <c r="B684" s="127"/>
      <c r="C684" s="127"/>
      <c r="G684" s="8"/>
      <c r="H684" s="8"/>
    </row>
    <row r="685">
      <c r="B685" s="127"/>
      <c r="C685" s="127"/>
      <c r="G685" s="8"/>
      <c r="H685" s="8"/>
    </row>
    <row r="686">
      <c r="B686" s="127"/>
      <c r="C686" s="127"/>
      <c r="G686" s="8"/>
      <c r="H686" s="8"/>
    </row>
    <row r="687">
      <c r="B687" s="127"/>
      <c r="C687" s="127"/>
      <c r="G687" s="8"/>
      <c r="H687" s="8"/>
    </row>
    <row r="688">
      <c r="B688" s="127"/>
      <c r="C688" s="127"/>
      <c r="G688" s="8"/>
      <c r="H688" s="8"/>
    </row>
    <row r="689">
      <c r="B689" s="127"/>
      <c r="C689" s="127"/>
      <c r="G689" s="8"/>
      <c r="H689" s="8"/>
    </row>
    <row r="690">
      <c r="B690" s="127"/>
      <c r="C690" s="127"/>
      <c r="G690" s="8"/>
      <c r="H690" s="8"/>
    </row>
    <row r="691">
      <c r="B691" s="127"/>
      <c r="C691" s="127"/>
      <c r="G691" s="8"/>
      <c r="H691" s="8"/>
    </row>
    <row r="692">
      <c r="B692" s="127"/>
      <c r="C692" s="127"/>
      <c r="G692" s="8"/>
      <c r="H692" s="8"/>
    </row>
    <row r="693">
      <c r="B693" s="127"/>
      <c r="C693" s="127"/>
      <c r="G693" s="8"/>
      <c r="H693" s="8"/>
    </row>
    <row r="694">
      <c r="B694" s="127"/>
      <c r="C694" s="127"/>
      <c r="G694" s="8"/>
      <c r="H694" s="8"/>
    </row>
    <row r="695">
      <c r="B695" s="127"/>
      <c r="C695" s="127"/>
      <c r="G695" s="8"/>
      <c r="H695" s="8"/>
    </row>
    <row r="696">
      <c r="B696" s="127"/>
      <c r="C696" s="127"/>
      <c r="G696" s="8"/>
      <c r="H696" s="8"/>
    </row>
    <row r="697">
      <c r="B697" s="127"/>
      <c r="C697" s="127"/>
      <c r="G697" s="8"/>
      <c r="H697" s="8"/>
    </row>
    <row r="698">
      <c r="B698" s="127"/>
      <c r="C698" s="127"/>
      <c r="G698" s="8"/>
      <c r="H698" s="8"/>
    </row>
    <row r="699">
      <c r="B699" s="127"/>
      <c r="C699" s="127"/>
      <c r="G699" s="8"/>
      <c r="H699" s="8"/>
    </row>
    <row r="700">
      <c r="B700" s="127"/>
      <c r="C700" s="127"/>
      <c r="G700" s="8"/>
      <c r="H700" s="8"/>
    </row>
    <row r="701">
      <c r="B701" s="127"/>
      <c r="C701" s="127"/>
      <c r="G701" s="8"/>
      <c r="H701" s="8"/>
    </row>
    <row r="702">
      <c r="B702" s="127"/>
      <c r="C702" s="127"/>
      <c r="G702" s="8"/>
      <c r="H702" s="8"/>
    </row>
    <row r="703">
      <c r="B703" s="127"/>
      <c r="C703" s="127"/>
      <c r="G703" s="8"/>
      <c r="H703" s="8"/>
    </row>
    <row r="704">
      <c r="B704" s="127"/>
      <c r="C704" s="127"/>
      <c r="G704" s="8"/>
      <c r="H704" s="8"/>
    </row>
    <row r="705">
      <c r="B705" s="127"/>
      <c r="C705" s="127"/>
      <c r="G705" s="8"/>
      <c r="H705" s="8"/>
    </row>
    <row r="706">
      <c r="B706" s="127"/>
      <c r="C706" s="127"/>
      <c r="G706" s="8"/>
      <c r="H706" s="8"/>
    </row>
    <row r="707">
      <c r="B707" s="127"/>
      <c r="C707" s="127"/>
      <c r="G707" s="8"/>
      <c r="H707" s="8"/>
    </row>
    <row r="708">
      <c r="B708" s="127"/>
      <c r="C708" s="127"/>
      <c r="G708" s="8"/>
      <c r="H708" s="8"/>
    </row>
    <row r="709">
      <c r="B709" s="127"/>
      <c r="C709" s="127"/>
      <c r="G709" s="8"/>
      <c r="H709" s="8"/>
    </row>
    <row r="710">
      <c r="B710" s="127"/>
      <c r="C710" s="127"/>
      <c r="G710" s="8"/>
      <c r="H710" s="8"/>
    </row>
    <row r="711">
      <c r="B711" s="127"/>
      <c r="C711" s="127"/>
      <c r="G711" s="8"/>
      <c r="H711" s="8"/>
    </row>
    <row r="712">
      <c r="B712" s="127"/>
      <c r="C712" s="127"/>
      <c r="G712" s="8"/>
      <c r="H712" s="8"/>
    </row>
    <row r="713">
      <c r="B713" s="127"/>
      <c r="C713" s="127"/>
      <c r="G713" s="8"/>
      <c r="H713" s="8"/>
    </row>
    <row r="714">
      <c r="B714" s="127"/>
      <c r="C714" s="127"/>
      <c r="G714" s="8"/>
      <c r="H714" s="8"/>
    </row>
    <row r="715">
      <c r="B715" s="127"/>
      <c r="C715" s="127"/>
      <c r="G715" s="8"/>
      <c r="H715" s="8"/>
    </row>
    <row r="716">
      <c r="B716" s="127"/>
      <c r="C716" s="127"/>
      <c r="G716" s="8"/>
      <c r="H716" s="8"/>
    </row>
    <row r="717">
      <c r="B717" s="127"/>
      <c r="C717" s="127"/>
      <c r="G717" s="8"/>
      <c r="H717" s="8"/>
    </row>
    <row r="718">
      <c r="B718" s="127"/>
      <c r="C718" s="127"/>
      <c r="G718" s="8"/>
      <c r="H718" s="8"/>
    </row>
    <row r="719">
      <c r="B719" s="127"/>
      <c r="C719" s="127"/>
      <c r="G719" s="8"/>
      <c r="H719" s="8"/>
    </row>
    <row r="720">
      <c r="B720" s="127"/>
      <c r="C720" s="127"/>
      <c r="G720" s="8"/>
      <c r="H720" s="8"/>
    </row>
    <row r="721">
      <c r="B721" s="127"/>
      <c r="C721" s="127"/>
      <c r="G721" s="8"/>
      <c r="H721" s="8"/>
    </row>
    <row r="722">
      <c r="B722" s="127"/>
      <c r="C722" s="127"/>
      <c r="G722" s="8"/>
      <c r="H722" s="8"/>
    </row>
    <row r="723">
      <c r="B723" s="127"/>
      <c r="C723" s="127"/>
      <c r="G723" s="8"/>
      <c r="H723" s="8"/>
    </row>
    <row r="724">
      <c r="B724" s="127"/>
      <c r="C724" s="127"/>
      <c r="G724" s="8"/>
      <c r="H724" s="8"/>
    </row>
    <row r="725">
      <c r="B725" s="127"/>
      <c r="C725" s="127"/>
      <c r="G725" s="8"/>
      <c r="H725" s="8"/>
    </row>
    <row r="726">
      <c r="B726" s="127"/>
      <c r="C726" s="127"/>
      <c r="G726" s="8"/>
      <c r="H726" s="8"/>
    </row>
    <row r="727">
      <c r="B727" s="127"/>
      <c r="C727" s="127"/>
      <c r="G727" s="8"/>
      <c r="H727" s="8"/>
    </row>
    <row r="728">
      <c r="B728" s="127"/>
      <c r="C728" s="127"/>
      <c r="G728" s="8"/>
      <c r="H728" s="8"/>
    </row>
    <row r="729">
      <c r="B729" s="127"/>
      <c r="C729" s="127"/>
      <c r="G729" s="8"/>
      <c r="H729" s="8"/>
    </row>
    <row r="730">
      <c r="B730" s="127"/>
      <c r="C730" s="127"/>
      <c r="G730" s="8"/>
      <c r="H730" s="8"/>
    </row>
    <row r="731">
      <c r="B731" s="127"/>
      <c r="C731" s="127"/>
      <c r="G731" s="8"/>
      <c r="H731" s="8"/>
    </row>
    <row r="732">
      <c r="B732" s="127"/>
      <c r="C732" s="127"/>
      <c r="G732" s="8"/>
      <c r="H732" s="8"/>
    </row>
    <row r="733">
      <c r="B733" s="127"/>
      <c r="C733" s="127"/>
      <c r="G733" s="8"/>
      <c r="H733" s="8"/>
    </row>
    <row r="734">
      <c r="B734" s="127"/>
      <c r="C734" s="127"/>
      <c r="G734" s="8"/>
      <c r="H734" s="8"/>
    </row>
    <row r="735">
      <c r="B735" s="127"/>
      <c r="C735" s="127"/>
      <c r="G735" s="8"/>
      <c r="H735" s="8"/>
    </row>
    <row r="736">
      <c r="B736" s="127"/>
      <c r="C736" s="127"/>
      <c r="G736" s="8"/>
      <c r="H736" s="8"/>
    </row>
    <row r="737">
      <c r="B737" s="127"/>
      <c r="C737" s="127"/>
      <c r="G737" s="8"/>
      <c r="H737" s="8"/>
    </row>
    <row r="738">
      <c r="B738" s="127"/>
      <c r="C738" s="127"/>
      <c r="G738" s="8"/>
      <c r="H738" s="8"/>
    </row>
    <row r="739">
      <c r="B739" s="127"/>
      <c r="C739" s="127"/>
      <c r="G739" s="8"/>
      <c r="H739" s="8"/>
    </row>
    <row r="740">
      <c r="B740" s="127"/>
      <c r="C740" s="127"/>
      <c r="G740" s="8"/>
      <c r="H740" s="8"/>
    </row>
    <row r="741">
      <c r="B741" s="127"/>
      <c r="C741" s="127"/>
      <c r="G741" s="8"/>
      <c r="H741" s="8"/>
    </row>
    <row r="742">
      <c r="B742" s="127"/>
      <c r="C742" s="127"/>
      <c r="G742" s="8"/>
      <c r="H742" s="8"/>
    </row>
    <row r="743">
      <c r="B743" s="127"/>
      <c r="C743" s="127"/>
      <c r="G743" s="8"/>
      <c r="H743" s="8"/>
    </row>
    <row r="744">
      <c r="B744" s="127"/>
      <c r="C744" s="127"/>
      <c r="G744" s="8"/>
      <c r="H744" s="8"/>
    </row>
    <row r="745">
      <c r="B745" s="127"/>
      <c r="C745" s="127"/>
      <c r="G745" s="8"/>
      <c r="H745" s="8"/>
    </row>
    <row r="746">
      <c r="B746" s="127"/>
      <c r="C746" s="127"/>
      <c r="G746" s="8"/>
      <c r="H746" s="8"/>
    </row>
    <row r="747">
      <c r="B747" s="127"/>
      <c r="C747" s="127"/>
      <c r="G747" s="8"/>
      <c r="H747" s="8"/>
    </row>
    <row r="748">
      <c r="B748" s="127"/>
      <c r="C748" s="127"/>
      <c r="G748" s="8"/>
      <c r="H748" s="8"/>
    </row>
    <row r="749">
      <c r="B749" s="127"/>
      <c r="C749" s="127"/>
      <c r="G749" s="8"/>
      <c r="H749" s="8"/>
    </row>
    <row r="750">
      <c r="B750" s="127"/>
      <c r="C750" s="127"/>
      <c r="G750" s="8"/>
      <c r="H750" s="8"/>
    </row>
    <row r="751">
      <c r="B751" s="127"/>
      <c r="C751" s="127"/>
      <c r="G751" s="8"/>
      <c r="H751" s="8"/>
    </row>
    <row r="752">
      <c r="B752" s="127"/>
      <c r="C752" s="127"/>
      <c r="G752" s="8"/>
      <c r="H752" s="8"/>
    </row>
    <row r="753">
      <c r="B753" s="127"/>
      <c r="C753" s="127"/>
      <c r="G753" s="8"/>
      <c r="H753" s="8"/>
    </row>
    <row r="754">
      <c r="B754" s="127"/>
      <c r="C754" s="127"/>
      <c r="G754" s="8"/>
      <c r="H754" s="8"/>
    </row>
    <row r="755">
      <c r="B755" s="127"/>
      <c r="C755" s="127"/>
      <c r="G755" s="8"/>
      <c r="H755" s="8"/>
    </row>
    <row r="756">
      <c r="B756" s="127"/>
      <c r="C756" s="127"/>
      <c r="G756" s="8"/>
      <c r="H756" s="8"/>
    </row>
    <row r="757">
      <c r="B757" s="127"/>
      <c r="C757" s="127"/>
      <c r="G757" s="8"/>
      <c r="H757" s="8"/>
    </row>
    <row r="758">
      <c r="B758" s="127"/>
      <c r="C758" s="127"/>
      <c r="G758" s="8"/>
      <c r="H758" s="8"/>
    </row>
    <row r="759">
      <c r="B759" s="127"/>
      <c r="C759" s="127"/>
      <c r="G759" s="8"/>
      <c r="H759" s="8"/>
    </row>
    <row r="760">
      <c r="B760" s="127"/>
      <c r="C760" s="127"/>
      <c r="G760" s="8"/>
      <c r="H760" s="8"/>
    </row>
    <row r="761">
      <c r="B761" s="127"/>
      <c r="C761" s="127"/>
      <c r="G761" s="8"/>
      <c r="H761" s="8"/>
    </row>
    <row r="762">
      <c r="B762" s="127"/>
      <c r="C762" s="127"/>
      <c r="G762" s="8"/>
      <c r="H762" s="8"/>
    </row>
    <row r="763">
      <c r="B763" s="127"/>
      <c r="C763" s="127"/>
      <c r="G763" s="8"/>
      <c r="H763" s="8"/>
    </row>
    <row r="764">
      <c r="B764" s="127"/>
      <c r="C764" s="127"/>
      <c r="G764" s="8"/>
      <c r="H764" s="8"/>
    </row>
    <row r="765">
      <c r="B765" s="127"/>
      <c r="C765" s="127"/>
      <c r="G765" s="8"/>
      <c r="H765" s="8"/>
    </row>
    <row r="766">
      <c r="B766" s="127"/>
      <c r="C766" s="127"/>
      <c r="G766" s="8"/>
      <c r="H766" s="8"/>
    </row>
    <row r="767">
      <c r="B767" s="127"/>
      <c r="C767" s="127"/>
      <c r="G767" s="8"/>
      <c r="H767" s="8"/>
    </row>
    <row r="768">
      <c r="B768" s="127"/>
      <c r="C768" s="127"/>
      <c r="G768" s="8"/>
      <c r="H768" s="8"/>
    </row>
    <row r="769">
      <c r="B769" s="127"/>
      <c r="C769" s="127"/>
      <c r="G769" s="8"/>
      <c r="H769" s="8"/>
    </row>
    <row r="770">
      <c r="B770" s="127"/>
      <c r="C770" s="127"/>
      <c r="G770" s="8"/>
      <c r="H770" s="8"/>
    </row>
    <row r="771">
      <c r="B771" s="127"/>
      <c r="C771" s="127"/>
      <c r="G771" s="8"/>
      <c r="H771" s="8"/>
    </row>
    <row r="772">
      <c r="B772" s="127"/>
      <c r="C772" s="127"/>
      <c r="G772" s="8"/>
      <c r="H772" s="8"/>
    </row>
    <row r="773">
      <c r="B773" s="127"/>
      <c r="C773" s="127"/>
      <c r="G773" s="8"/>
      <c r="H773" s="8"/>
    </row>
    <row r="774">
      <c r="B774" s="127"/>
      <c r="C774" s="127"/>
      <c r="G774" s="8"/>
      <c r="H774" s="8"/>
    </row>
    <row r="775">
      <c r="B775" s="127"/>
      <c r="C775" s="127"/>
      <c r="G775" s="8"/>
      <c r="H775" s="8"/>
    </row>
    <row r="776">
      <c r="B776" s="127"/>
      <c r="C776" s="127"/>
      <c r="G776" s="8"/>
      <c r="H776" s="8"/>
    </row>
    <row r="777">
      <c r="B777" s="127"/>
      <c r="C777" s="127"/>
      <c r="G777" s="8"/>
      <c r="H777" s="8"/>
    </row>
    <row r="778">
      <c r="B778" s="127"/>
      <c r="C778" s="127"/>
      <c r="G778" s="8"/>
      <c r="H778" s="8"/>
    </row>
    <row r="779">
      <c r="B779" s="127"/>
      <c r="C779" s="127"/>
      <c r="G779" s="8"/>
      <c r="H779" s="8"/>
    </row>
    <row r="780">
      <c r="B780" s="127"/>
      <c r="C780" s="127"/>
      <c r="G780" s="8"/>
      <c r="H780" s="8"/>
    </row>
    <row r="781">
      <c r="B781" s="127"/>
      <c r="C781" s="127"/>
      <c r="G781" s="8"/>
      <c r="H781" s="8"/>
    </row>
    <row r="782">
      <c r="B782" s="127"/>
      <c r="C782" s="127"/>
      <c r="G782" s="8"/>
      <c r="H782" s="8"/>
    </row>
    <row r="783">
      <c r="B783" s="127"/>
      <c r="C783" s="127"/>
      <c r="G783" s="8"/>
      <c r="H783" s="8"/>
    </row>
    <row r="784">
      <c r="B784" s="127"/>
      <c r="C784" s="127"/>
      <c r="G784" s="8"/>
      <c r="H784" s="8"/>
    </row>
    <row r="785">
      <c r="B785" s="127"/>
      <c r="C785" s="127"/>
      <c r="G785" s="8"/>
      <c r="H785" s="8"/>
    </row>
    <row r="786">
      <c r="B786" s="127"/>
      <c r="C786" s="127"/>
      <c r="G786" s="8"/>
      <c r="H786" s="8"/>
    </row>
    <row r="787">
      <c r="B787" s="127"/>
      <c r="C787" s="127"/>
      <c r="G787" s="8"/>
      <c r="H787" s="8"/>
    </row>
    <row r="788">
      <c r="B788" s="127"/>
      <c r="C788" s="127"/>
      <c r="G788" s="8"/>
      <c r="H788" s="8"/>
    </row>
    <row r="789">
      <c r="B789" s="127"/>
      <c r="C789" s="127"/>
      <c r="G789" s="8"/>
      <c r="H789" s="8"/>
    </row>
    <row r="790">
      <c r="B790" s="127"/>
      <c r="C790" s="127"/>
      <c r="G790" s="8"/>
      <c r="H790" s="8"/>
    </row>
    <row r="791">
      <c r="B791" s="127"/>
      <c r="C791" s="127"/>
      <c r="G791" s="8"/>
      <c r="H791" s="8"/>
    </row>
    <row r="792">
      <c r="B792" s="127"/>
      <c r="C792" s="127"/>
      <c r="G792" s="8"/>
      <c r="H792" s="8"/>
    </row>
    <row r="793">
      <c r="B793" s="127"/>
      <c r="C793" s="127"/>
      <c r="G793" s="8"/>
      <c r="H793" s="8"/>
    </row>
    <row r="794">
      <c r="B794" s="127"/>
      <c r="C794" s="127"/>
      <c r="G794" s="8"/>
      <c r="H794" s="8"/>
    </row>
    <row r="795">
      <c r="B795" s="127"/>
      <c r="C795" s="127"/>
      <c r="G795" s="8"/>
      <c r="H795" s="8"/>
    </row>
    <row r="796">
      <c r="B796" s="127"/>
      <c r="C796" s="127"/>
      <c r="G796" s="8"/>
      <c r="H796" s="8"/>
    </row>
    <row r="797">
      <c r="B797" s="127"/>
      <c r="C797" s="127"/>
      <c r="G797" s="8"/>
      <c r="H797" s="8"/>
    </row>
    <row r="798">
      <c r="B798" s="127"/>
      <c r="C798" s="127"/>
      <c r="G798" s="8"/>
      <c r="H798" s="8"/>
    </row>
    <row r="799">
      <c r="B799" s="127"/>
      <c r="C799" s="127"/>
      <c r="G799" s="8"/>
      <c r="H799" s="8"/>
    </row>
    <row r="800">
      <c r="B800" s="127"/>
      <c r="C800" s="127"/>
      <c r="G800" s="8"/>
      <c r="H800" s="8"/>
    </row>
    <row r="801">
      <c r="B801" s="127"/>
      <c r="C801" s="127"/>
      <c r="G801" s="8"/>
      <c r="H801" s="8"/>
    </row>
    <row r="802">
      <c r="B802" s="127"/>
      <c r="C802" s="127"/>
      <c r="G802" s="8"/>
      <c r="H802" s="8"/>
    </row>
    <row r="803">
      <c r="B803" s="127"/>
      <c r="C803" s="127"/>
      <c r="G803" s="8"/>
      <c r="H803" s="8"/>
    </row>
    <row r="804">
      <c r="B804" s="127"/>
      <c r="C804" s="127"/>
      <c r="G804" s="8"/>
      <c r="H804" s="8"/>
    </row>
    <row r="805">
      <c r="B805" s="127"/>
      <c r="C805" s="127"/>
      <c r="G805" s="8"/>
      <c r="H805" s="8"/>
    </row>
    <row r="806">
      <c r="B806" s="127"/>
      <c r="C806" s="127"/>
      <c r="G806" s="8"/>
      <c r="H806" s="8"/>
    </row>
    <row r="807">
      <c r="B807" s="127"/>
      <c r="C807" s="127"/>
      <c r="G807" s="8"/>
      <c r="H807" s="8"/>
    </row>
    <row r="808">
      <c r="B808" s="127"/>
      <c r="C808" s="127"/>
      <c r="G808" s="8"/>
      <c r="H808" s="8"/>
    </row>
    <row r="809">
      <c r="B809" s="127"/>
      <c r="C809" s="127"/>
      <c r="G809" s="8"/>
      <c r="H809" s="8"/>
    </row>
    <row r="810">
      <c r="B810" s="127"/>
      <c r="C810" s="127"/>
      <c r="G810" s="8"/>
      <c r="H810" s="8"/>
    </row>
    <row r="811">
      <c r="B811" s="127"/>
      <c r="C811" s="127"/>
      <c r="G811" s="8"/>
      <c r="H811" s="8"/>
    </row>
    <row r="812">
      <c r="B812" s="127"/>
      <c r="C812" s="127"/>
      <c r="G812" s="8"/>
      <c r="H812" s="8"/>
    </row>
    <row r="813">
      <c r="B813" s="127"/>
      <c r="C813" s="127"/>
      <c r="G813" s="8"/>
      <c r="H813" s="8"/>
    </row>
    <row r="814">
      <c r="B814" s="127"/>
      <c r="C814" s="127"/>
      <c r="G814" s="8"/>
      <c r="H814" s="8"/>
    </row>
    <row r="815">
      <c r="B815" s="127"/>
      <c r="C815" s="127"/>
      <c r="G815" s="8"/>
      <c r="H815" s="8"/>
    </row>
    <row r="816">
      <c r="B816" s="127"/>
      <c r="C816" s="127"/>
      <c r="G816" s="8"/>
      <c r="H816" s="8"/>
    </row>
    <row r="817">
      <c r="B817" s="127"/>
      <c r="C817" s="127"/>
      <c r="G817" s="8"/>
      <c r="H817" s="8"/>
    </row>
    <row r="818">
      <c r="B818" s="127"/>
      <c r="C818" s="127"/>
      <c r="G818" s="8"/>
      <c r="H818" s="8"/>
    </row>
    <row r="819">
      <c r="B819" s="127"/>
      <c r="C819" s="127"/>
      <c r="G819" s="8"/>
      <c r="H819" s="8"/>
    </row>
    <row r="820">
      <c r="B820" s="127"/>
      <c r="C820" s="127"/>
      <c r="G820" s="8"/>
      <c r="H820" s="8"/>
    </row>
    <row r="821">
      <c r="B821" s="127"/>
      <c r="C821" s="127"/>
      <c r="G821" s="8"/>
      <c r="H821" s="8"/>
    </row>
    <row r="822">
      <c r="B822" s="127"/>
      <c r="C822" s="127"/>
      <c r="G822" s="8"/>
      <c r="H822" s="8"/>
    </row>
    <row r="823">
      <c r="B823" s="127"/>
      <c r="C823" s="127"/>
      <c r="G823" s="8"/>
      <c r="H823" s="8"/>
    </row>
    <row r="824">
      <c r="B824" s="127"/>
      <c r="C824" s="127"/>
      <c r="G824" s="8"/>
      <c r="H824" s="8"/>
    </row>
    <row r="825">
      <c r="B825" s="127"/>
      <c r="C825" s="127"/>
      <c r="G825" s="8"/>
      <c r="H825" s="8"/>
    </row>
    <row r="826">
      <c r="B826" s="127"/>
      <c r="C826" s="127"/>
      <c r="G826" s="8"/>
      <c r="H826" s="8"/>
    </row>
    <row r="827">
      <c r="B827" s="127"/>
      <c r="C827" s="127"/>
      <c r="G827" s="8"/>
      <c r="H827" s="8"/>
    </row>
    <row r="828">
      <c r="B828" s="127"/>
      <c r="C828" s="127"/>
      <c r="G828" s="8"/>
      <c r="H828" s="8"/>
    </row>
    <row r="829">
      <c r="B829" s="127"/>
      <c r="C829" s="127"/>
      <c r="G829" s="8"/>
      <c r="H829" s="8"/>
    </row>
    <row r="830">
      <c r="B830" s="127"/>
      <c r="C830" s="127"/>
      <c r="G830" s="8"/>
      <c r="H830" s="8"/>
    </row>
    <row r="831">
      <c r="B831" s="127"/>
      <c r="C831" s="127"/>
      <c r="G831" s="8"/>
      <c r="H831" s="8"/>
    </row>
    <row r="832">
      <c r="B832" s="127"/>
      <c r="C832" s="127"/>
      <c r="G832" s="8"/>
      <c r="H832" s="8"/>
    </row>
    <row r="833">
      <c r="B833" s="127"/>
      <c r="C833" s="127"/>
      <c r="G833" s="8"/>
      <c r="H833" s="8"/>
    </row>
    <row r="834">
      <c r="B834" s="127"/>
      <c r="C834" s="127"/>
      <c r="G834" s="8"/>
      <c r="H834" s="8"/>
    </row>
    <row r="835">
      <c r="B835" s="127"/>
      <c r="C835" s="127"/>
      <c r="G835" s="8"/>
      <c r="H835" s="8"/>
    </row>
    <row r="836">
      <c r="B836" s="127"/>
      <c r="C836" s="127"/>
      <c r="G836" s="8"/>
      <c r="H836" s="8"/>
    </row>
    <row r="837">
      <c r="B837" s="127"/>
      <c r="C837" s="127"/>
      <c r="G837" s="8"/>
      <c r="H837" s="8"/>
    </row>
    <row r="838">
      <c r="B838" s="127"/>
      <c r="C838" s="127"/>
      <c r="G838" s="8"/>
      <c r="H838" s="8"/>
    </row>
    <row r="839">
      <c r="B839" s="127"/>
      <c r="C839" s="127"/>
      <c r="G839" s="8"/>
      <c r="H839" s="8"/>
    </row>
    <row r="840">
      <c r="B840" s="127"/>
      <c r="C840" s="127"/>
      <c r="G840" s="8"/>
      <c r="H840" s="8"/>
    </row>
    <row r="841">
      <c r="B841" s="127"/>
      <c r="C841" s="127"/>
      <c r="G841" s="8"/>
      <c r="H841" s="8"/>
    </row>
    <row r="842">
      <c r="B842" s="127"/>
      <c r="C842" s="127"/>
      <c r="G842" s="8"/>
      <c r="H842" s="8"/>
    </row>
    <row r="843">
      <c r="B843" s="127"/>
      <c r="C843" s="127"/>
      <c r="G843" s="8"/>
      <c r="H843" s="8"/>
    </row>
    <row r="844">
      <c r="B844" s="127"/>
      <c r="C844" s="127"/>
      <c r="G844" s="8"/>
      <c r="H844" s="8"/>
    </row>
    <row r="845">
      <c r="B845" s="127"/>
      <c r="C845" s="127"/>
      <c r="G845" s="8"/>
      <c r="H845" s="8"/>
    </row>
    <row r="846">
      <c r="B846" s="127"/>
      <c r="C846" s="127"/>
      <c r="G846" s="8"/>
      <c r="H846" s="8"/>
    </row>
    <row r="847">
      <c r="B847" s="127"/>
      <c r="C847" s="127"/>
      <c r="G847" s="8"/>
      <c r="H847" s="8"/>
    </row>
    <row r="848">
      <c r="B848" s="127"/>
      <c r="C848" s="127"/>
      <c r="G848" s="8"/>
      <c r="H848" s="8"/>
    </row>
    <row r="849">
      <c r="B849" s="127"/>
      <c r="C849" s="127"/>
      <c r="G849" s="8"/>
      <c r="H849" s="8"/>
    </row>
    <row r="850">
      <c r="B850" s="127"/>
      <c r="C850" s="127"/>
      <c r="G850" s="8"/>
      <c r="H850" s="8"/>
    </row>
    <row r="851">
      <c r="B851" s="127"/>
      <c r="C851" s="127"/>
      <c r="G851" s="8"/>
      <c r="H851" s="8"/>
    </row>
    <row r="852">
      <c r="B852" s="127"/>
      <c r="C852" s="127"/>
      <c r="G852" s="8"/>
      <c r="H852" s="8"/>
    </row>
    <row r="853">
      <c r="B853" s="127"/>
      <c r="C853" s="127"/>
      <c r="G853" s="8"/>
      <c r="H853" s="8"/>
    </row>
    <row r="854">
      <c r="B854" s="127"/>
      <c r="C854" s="127"/>
      <c r="G854" s="8"/>
      <c r="H854" s="8"/>
    </row>
    <row r="855">
      <c r="B855" s="127"/>
      <c r="C855" s="127"/>
      <c r="G855" s="8"/>
      <c r="H855" s="8"/>
    </row>
    <row r="856">
      <c r="B856" s="127"/>
      <c r="C856" s="127"/>
      <c r="G856" s="8"/>
      <c r="H856" s="8"/>
    </row>
    <row r="857">
      <c r="B857" s="127"/>
      <c r="C857" s="127"/>
      <c r="G857" s="8"/>
      <c r="H857" s="8"/>
    </row>
    <row r="858">
      <c r="B858" s="127"/>
      <c r="C858" s="127"/>
      <c r="G858" s="8"/>
      <c r="H858" s="8"/>
    </row>
    <row r="859">
      <c r="B859" s="127"/>
      <c r="C859" s="127"/>
      <c r="G859" s="8"/>
      <c r="H859" s="8"/>
    </row>
    <row r="860">
      <c r="B860" s="127"/>
      <c r="C860" s="127"/>
      <c r="G860" s="8"/>
      <c r="H860" s="8"/>
    </row>
    <row r="861">
      <c r="B861" s="127"/>
      <c r="C861" s="127"/>
      <c r="G861" s="8"/>
      <c r="H861" s="8"/>
    </row>
    <row r="862">
      <c r="B862" s="127"/>
      <c r="C862" s="127"/>
      <c r="G862" s="8"/>
      <c r="H862" s="8"/>
    </row>
    <row r="863">
      <c r="B863" s="127"/>
      <c r="C863" s="127"/>
      <c r="G863" s="8"/>
      <c r="H863" s="8"/>
    </row>
    <row r="864">
      <c r="B864" s="127"/>
      <c r="C864" s="127"/>
      <c r="G864" s="8"/>
      <c r="H864" s="8"/>
    </row>
    <row r="865">
      <c r="B865" s="127"/>
      <c r="C865" s="127"/>
      <c r="G865" s="8"/>
      <c r="H865" s="8"/>
    </row>
    <row r="866">
      <c r="B866" s="127"/>
      <c r="C866" s="127"/>
      <c r="G866" s="8"/>
      <c r="H866" s="8"/>
    </row>
    <row r="867">
      <c r="B867" s="127"/>
      <c r="C867" s="127"/>
      <c r="G867" s="8"/>
      <c r="H867" s="8"/>
    </row>
    <row r="868">
      <c r="B868" s="127"/>
      <c r="C868" s="127"/>
      <c r="G868" s="8"/>
      <c r="H868" s="8"/>
    </row>
    <row r="869">
      <c r="B869" s="127"/>
      <c r="C869" s="127"/>
      <c r="G869" s="8"/>
      <c r="H869" s="8"/>
    </row>
    <row r="870">
      <c r="B870" s="127"/>
      <c r="C870" s="127"/>
      <c r="G870" s="8"/>
      <c r="H870" s="8"/>
    </row>
    <row r="871">
      <c r="B871" s="127"/>
      <c r="C871" s="127"/>
      <c r="G871" s="8"/>
      <c r="H871" s="8"/>
    </row>
    <row r="872">
      <c r="B872" s="127"/>
      <c r="C872" s="127"/>
      <c r="G872" s="8"/>
      <c r="H872" s="8"/>
    </row>
    <row r="873">
      <c r="B873" s="127"/>
      <c r="C873" s="127"/>
      <c r="G873" s="8"/>
      <c r="H873" s="8"/>
    </row>
    <row r="874">
      <c r="B874" s="127"/>
      <c r="C874" s="127"/>
      <c r="G874" s="8"/>
      <c r="H874" s="8"/>
    </row>
    <row r="875">
      <c r="B875" s="127"/>
      <c r="C875" s="127"/>
      <c r="G875" s="8"/>
      <c r="H875" s="8"/>
    </row>
    <row r="876">
      <c r="B876" s="127"/>
      <c r="C876" s="127"/>
      <c r="G876" s="8"/>
      <c r="H876" s="8"/>
    </row>
    <row r="877">
      <c r="B877" s="127"/>
      <c r="C877" s="127"/>
      <c r="G877" s="8"/>
      <c r="H877" s="8"/>
    </row>
    <row r="878">
      <c r="B878" s="127"/>
      <c r="C878" s="127"/>
      <c r="G878" s="8"/>
      <c r="H878" s="8"/>
    </row>
    <row r="879">
      <c r="B879" s="127"/>
      <c r="C879" s="127"/>
      <c r="G879" s="8"/>
      <c r="H879" s="8"/>
    </row>
    <row r="880">
      <c r="B880" s="127"/>
      <c r="C880" s="127"/>
      <c r="G880" s="8"/>
      <c r="H880" s="8"/>
    </row>
    <row r="881">
      <c r="B881" s="127"/>
      <c r="C881" s="127"/>
      <c r="G881" s="8"/>
      <c r="H881" s="8"/>
    </row>
    <row r="882">
      <c r="B882" s="127"/>
      <c r="C882" s="127"/>
      <c r="G882" s="8"/>
      <c r="H882" s="8"/>
    </row>
    <row r="883">
      <c r="B883" s="127"/>
      <c r="C883" s="127"/>
      <c r="G883" s="8"/>
      <c r="H883" s="8"/>
    </row>
    <row r="884">
      <c r="B884" s="127"/>
      <c r="C884" s="127"/>
      <c r="G884" s="8"/>
      <c r="H884" s="8"/>
    </row>
    <row r="885">
      <c r="B885" s="127"/>
      <c r="C885" s="127"/>
      <c r="G885" s="8"/>
      <c r="H885" s="8"/>
    </row>
    <row r="886">
      <c r="B886" s="127"/>
      <c r="C886" s="127"/>
      <c r="G886" s="8"/>
      <c r="H886" s="8"/>
    </row>
    <row r="887">
      <c r="B887" s="127"/>
      <c r="C887" s="127"/>
      <c r="G887" s="8"/>
      <c r="H887" s="8"/>
    </row>
    <row r="888">
      <c r="B888" s="127"/>
      <c r="C888" s="127"/>
      <c r="G888" s="8"/>
      <c r="H888" s="8"/>
    </row>
    <row r="889">
      <c r="B889" s="127"/>
      <c r="C889" s="127"/>
      <c r="G889" s="8"/>
      <c r="H889" s="8"/>
    </row>
    <row r="890">
      <c r="B890" s="127"/>
      <c r="C890" s="127"/>
      <c r="G890" s="8"/>
      <c r="H890" s="8"/>
    </row>
    <row r="891">
      <c r="B891" s="127"/>
      <c r="C891" s="127"/>
      <c r="G891" s="8"/>
      <c r="H891" s="8"/>
    </row>
    <row r="892">
      <c r="B892" s="127"/>
      <c r="C892" s="127"/>
      <c r="G892" s="8"/>
      <c r="H892" s="8"/>
    </row>
    <row r="893">
      <c r="B893" s="127"/>
      <c r="C893" s="127"/>
      <c r="G893" s="8"/>
      <c r="H893" s="8"/>
    </row>
    <row r="894">
      <c r="B894" s="127"/>
      <c r="C894" s="127"/>
      <c r="G894" s="8"/>
      <c r="H894" s="8"/>
    </row>
    <row r="895">
      <c r="B895" s="127"/>
      <c r="C895" s="127"/>
      <c r="G895" s="8"/>
      <c r="H895" s="8"/>
    </row>
    <row r="896">
      <c r="B896" s="127"/>
      <c r="C896" s="127"/>
      <c r="G896" s="8"/>
      <c r="H896" s="8"/>
    </row>
    <row r="897">
      <c r="B897" s="127"/>
      <c r="C897" s="127"/>
      <c r="G897" s="8"/>
      <c r="H897" s="8"/>
    </row>
    <row r="898">
      <c r="B898" s="127"/>
      <c r="C898" s="127"/>
      <c r="G898" s="8"/>
      <c r="H898" s="8"/>
    </row>
    <row r="899">
      <c r="B899" s="127"/>
      <c r="C899" s="127"/>
      <c r="G899" s="8"/>
      <c r="H899" s="8"/>
    </row>
    <row r="900">
      <c r="B900" s="127"/>
      <c r="C900" s="127"/>
      <c r="G900" s="8"/>
      <c r="H900" s="8"/>
    </row>
    <row r="901">
      <c r="B901" s="127"/>
      <c r="C901" s="127"/>
      <c r="G901" s="8"/>
      <c r="H901" s="8"/>
    </row>
    <row r="902">
      <c r="B902" s="127"/>
      <c r="C902" s="127"/>
      <c r="G902" s="8"/>
      <c r="H902" s="8"/>
    </row>
    <row r="903">
      <c r="B903" s="127"/>
      <c r="C903" s="127"/>
      <c r="G903" s="8"/>
      <c r="H903" s="8"/>
    </row>
    <row r="904">
      <c r="B904" s="127"/>
      <c r="C904" s="127"/>
      <c r="G904" s="8"/>
      <c r="H904" s="8"/>
    </row>
    <row r="905">
      <c r="B905" s="127"/>
      <c r="C905" s="127"/>
      <c r="G905" s="8"/>
      <c r="H905" s="8"/>
    </row>
    <row r="906">
      <c r="B906" s="127"/>
      <c r="C906" s="127"/>
      <c r="G906" s="8"/>
      <c r="H906" s="8"/>
    </row>
    <row r="907">
      <c r="B907" s="127"/>
      <c r="C907" s="127"/>
      <c r="G907" s="8"/>
      <c r="H907" s="8"/>
    </row>
    <row r="908">
      <c r="B908" s="127"/>
      <c r="C908" s="127"/>
      <c r="G908" s="8"/>
      <c r="H908" s="8"/>
    </row>
    <row r="909">
      <c r="B909" s="127"/>
      <c r="C909" s="127"/>
      <c r="G909" s="8"/>
      <c r="H909" s="8"/>
    </row>
    <row r="910">
      <c r="B910" s="127"/>
      <c r="C910" s="127"/>
      <c r="G910" s="8"/>
      <c r="H910" s="8"/>
    </row>
    <row r="911">
      <c r="B911" s="127"/>
      <c r="C911" s="127"/>
      <c r="G911" s="8"/>
      <c r="H911" s="8"/>
    </row>
    <row r="912">
      <c r="B912" s="127"/>
      <c r="C912" s="127"/>
      <c r="G912" s="8"/>
      <c r="H912" s="8"/>
    </row>
    <row r="913">
      <c r="B913" s="127"/>
      <c r="C913" s="127"/>
      <c r="G913" s="8"/>
      <c r="H913" s="8"/>
    </row>
    <row r="914">
      <c r="B914" s="127"/>
      <c r="C914" s="127"/>
      <c r="G914" s="8"/>
      <c r="H914" s="8"/>
    </row>
    <row r="915">
      <c r="B915" s="127"/>
      <c r="C915" s="127"/>
      <c r="G915" s="8"/>
      <c r="H915" s="8"/>
    </row>
    <row r="916">
      <c r="B916" s="127"/>
      <c r="C916" s="127"/>
      <c r="G916" s="8"/>
      <c r="H916" s="8"/>
    </row>
    <row r="917">
      <c r="B917" s="127"/>
      <c r="C917" s="127"/>
      <c r="G917" s="8"/>
      <c r="H917" s="8"/>
    </row>
    <row r="918">
      <c r="B918" s="127"/>
      <c r="C918" s="127"/>
      <c r="G918" s="8"/>
      <c r="H918" s="8"/>
    </row>
    <row r="919">
      <c r="B919" s="127"/>
      <c r="C919" s="127"/>
      <c r="G919" s="8"/>
      <c r="H919" s="8"/>
    </row>
    <row r="920">
      <c r="B920" s="127"/>
      <c r="C920" s="127"/>
      <c r="G920" s="8"/>
      <c r="H920" s="8"/>
    </row>
    <row r="921">
      <c r="B921" s="127"/>
      <c r="C921" s="127"/>
      <c r="G921" s="8"/>
      <c r="H921" s="8"/>
    </row>
    <row r="922">
      <c r="B922" s="127"/>
      <c r="C922" s="127"/>
      <c r="G922" s="8"/>
      <c r="H922" s="8"/>
    </row>
    <row r="923">
      <c r="B923" s="127"/>
      <c r="C923" s="127"/>
      <c r="G923" s="8"/>
      <c r="H923" s="8"/>
    </row>
    <row r="924">
      <c r="B924" s="127"/>
      <c r="C924" s="127"/>
      <c r="G924" s="8"/>
      <c r="H924" s="8"/>
    </row>
    <row r="925">
      <c r="B925" s="127"/>
      <c r="C925" s="127"/>
      <c r="G925" s="8"/>
      <c r="H925" s="8"/>
    </row>
    <row r="926">
      <c r="B926" s="127"/>
      <c r="C926" s="127"/>
      <c r="G926" s="8"/>
      <c r="H926" s="8"/>
    </row>
    <row r="927">
      <c r="B927" s="127"/>
      <c r="C927" s="127"/>
      <c r="G927" s="8"/>
      <c r="H927" s="8"/>
    </row>
    <row r="928">
      <c r="B928" s="127"/>
      <c r="C928" s="127"/>
      <c r="G928" s="8"/>
      <c r="H928" s="8"/>
    </row>
    <row r="929">
      <c r="B929" s="127"/>
      <c r="C929" s="127"/>
      <c r="G929" s="8"/>
      <c r="H929" s="8"/>
    </row>
    <row r="930">
      <c r="B930" s="127"/>
      <c r="C930" s="127"/>
      <c r="G930" s="8"/>
      <c r="H930" s="8"/>
    </row>
    <row r="931">
      <c r="B931" s="127"/>
      <c r="C931" s="127"/>
      <c r="G931" s="8"/>
      <c r="H931" s="8"/>
    </row>
    <row r="932">
      <c r="B932" s="127"/>
      <c r="C932" s="127"/>
      <c r="G932" s="8"/>
      <c r="H932" s="8"/>
    </row>
    <row r="933">
      <c r="B933" s="127"/>
      <c r="C933" s="127"/>
      <c r="G933" s="8"/>
      <c r="H933" s="8"/>
    </row>
    <row r="934">
      <c r="B934" s="127"/>
      <c r="C934" s="127"/>
      <c r="G934" s="8"/>
      <c r="H934" s="8"/>
    </row>
    <row r="935">
      <c r="B935" s="127"/>
      <c r="C935" s="127"/>
      <c r="G935" s="8"/>
      <c r="H935" s="8"/>
    </row>
    <row r="936">
      <c r="B936" s="127"/>
      <c r="C936" s="127"/>
      <c r="G936" s="8"/>
      <c r="H936" s="8"/>
    </row>
    <row r="937">
      <c r="B937" s="127"/>
      <c r="C937" s="127"/>
      <c r="G937" s="8"/>
      <c r="H937" s="8"/>
    </row>
    <row r="938">
      <c r="B938" s="127"/>
      <c r="C938" s="127"/>
      <c r="G938" s="8"/>
      <c r="H938" s="8"/>
    </row>
    <row r="939">
      <c r="B939" s="127"/>
      <c r="C939" s="127"/>
      <c r="G939" s="8"/>
      <c r="H939" s="8"/>
    </row>
    <row r="940">
      <c r="B940" s="127"/>
      <c r="C940" s="127"/>
      <c r="G940" s="8"/>
      <c r="H940" s="8"/>
    </row>
    <row r="941">
      <c r="B941" s="127"/>
      <c r="C941" s="127"/>
      <c r="G941" s="8"/>
      <c r="H941" s="8"/>
    </row>
    <row r="942">
      <c r="B942" s="127"/>
      <c r="C942" s="127"/>
      <c r="G942" s="8"/>
      <c r="H942" s="8"/>
    </row>
    <row r="943">
      <c r="B943" s="127"/>
      <c r="C943" s="127"/>
      <c r="G943" s="8"/>
      <c r="H943" s="8"/>
    </row>
    <row r="944">
      <c r="B944" s="127"/>
      <c r="C944" s="127"/>
      <c r="G944" s="8"/>
      <c r="H944" s="8"/>
    </row>
    <row r="945">
      <c r="B945" s="127"/>
      <c r="C945" s="127"/>
      <c r="G945" s="8"/>
      <c r="H945" s="8"/>
    </row>
    <row r="946">
      <c r="B946" s="127"/>
      <c r="C946" s="127"/>
      <c r="G946" s="8"/>
      <c r="H946" s="8"/>
    </row>
    <row r="947">
      <c r="B947" s="127"/>
      <c r="C947" s="127"/>
      <c r="G947" s="8"/>
      <c r="H947" s="8"/>
    </row>
    <row r="948">
      <c r="B948" s="127"/>
      <c r="C948" s="127"/>
      <c r="G948" s="8"/>
      <c r="H948" s="8"/>
    </row>
    <row r="949">
      <c r="B949" s="127"/>
      <c r="C949" s="127"/>
      <c r="G949" s="8"/>
      <c r="H949" s="8"/>
    </row>
    <row r="950">
      <c r="B950" s="127"/>
      <c r="C950" s="127"/>
      <c r="G950" s="8"/>
      <c r="H950" s="8"/>
    </row>
    <row r="951">
      <c r="B951" s="127"/>
      <c r="C951" s="127"/>
      <c r="G951" s="8"/>
      <c r="H951" s="8"/>
    </row>
    <row r="952">
      <c r="B952" s="127"/>
      <c r="C952" s="127"/>
      <c r="G952" s="8"/>
      <c r="H952" s="8"/>
    </row>
    <row r="953">
      <c r="B953" s="127"/>
      <c r="C953" s="127"/>
      <c r="G953" s="8"/>
      <c r="H953" s="8"/>
    </row>
    <row r="954">
      <c r="B954" s="127"/>
      <c r="C954" s="127"/>
      <c r="G954" s="8"/>
      <c r="H954" s="8"/>
    </row>
    <row r="955">
      <c r="B955" s="127"/>
      <c r="C955" s="127"/>
      <c r="G955" s="8"/>
      <c r="H955" s="8"/>
    </row>
    <row r="956">
      <c r="B956" s="127"/>
      <c r="C956" s="127"/>
      <c r="G956" s="8"/>
      <c r="H956" s="8"/>
    </row>
    <row r="957">
      <c r="B957" s="127"/>
      <c r="C957" s="127"/>
      <c r="G957" s="8"/>
      <c r="H957" s="8"/>
    </row>
    <row r="958">
      <c r="B958" s="127"/>
      <c r="C958" s="127"/>
      <c r="G958" s="8"/>
      <c r="H958" s="8"/>
    </row>
    <row r="959">
      <c r="B959" s="127"/>
      <c r="C959" s="127"/>
      <c r="G959" s="8"/>
      <c r="H959" s="8"/>
    </row>
    <row r="960">
      <c r="B960" s="127"/>
      <c r="C960" s="127"/>
      <c r="G960" s="8"/>
      <c r="H960" s="8"/>
    </row>
    <row r="961">
      <c r="B961" s="127"/>
      <c r="C961" s="127"/>
      <c r="G961" s="8"/>
      <c r="H961" s="8"/>
    </row>
    <row r="962">
      <c r="B962" s="127"/>
      <c r="C962" s="127"/>
      <c r="G962" s="8"/>
      <c r="H962" s="8"/>
    </row>
    <row r="963">
      <c r="B963" s="127"/>
      <c r="C963" s="127"/>
      <c r="G963" s="8"/>
      <c r="H963" s="8"/>
    </row>
    <row r="964">
      <c r="B964" s="127"/>
      <c r="C964" s="127"/>
      <c r="G964" s="8"/>
      <c r="H964" s="8"/>
    </row>
    <row r="965">
      <c r="B965" s="127"/>
      <c r="C965" s="127"/>
      <c r="G965" s="8"/>
      <c r="H965" s="8"/>
    </row>
    <row r="966">
      <c r="B966" s="127"/>
      <c r="C966" s="127"/>
      <c r="G966" s="8"/>
      <c r="H966" s="8"/>
    </row>
    <row r="967">
      <c r="B967" s="127"/>
      <c r="C967" s="127"/>
      <c r="G967" s="8"/>
      <c r="H967" s="8"/>
    </row>
    <row r="968">
      <c r="B968" s="127"/>
      <c r="C968" s="127"/>
      <c r="G968" s="8"/>
      <c r="H968" s="8"/>
    </row>
    <row r="969">
      <c r="B969" s="127"/>
      <c r="C969" s="127"/>
      <c r="G969" s="8"/>
      <c r="H969" s="8"/>
    </row>
    <row r="970">
      <c r="B970" s="127"/>
      <c r="C970" s="127"/>
      <c r="G970" s="8"/>
      <c r="H970" s="8"/>
    </row>
    <row r="971">
      <c r="B971" s="127"/>
      <c r="C971" s="127"/>
      <c r="G971" s="8"/>
      <c r="H971" s="8"/>
    </row>
    <row r="972">
      <c r="B972" s="127"/>
      <c r="C972" s="127"/>
      <c r="G972" s="8"/>
      <c r="H972" s="8"/>
    </row>
    <row r="973">
      <c r="B973" s="127"/>
      <c r="C973" s="127"/>
      <c r="G973" s="8"/>
      <c r="H973" s="8"/>
    </row>
    <row r="974">
      <c r="B974" s="127"/>
      <c r="C974" s="127"/>
      <c r="G974" s="8"/>
      <c r="H974" s="8"/>
    </row>
    <row r="975">
      <c r="B975" s="127"/>
      <c r="C975" s="127"/>
      <c r="G975" s="8"/>
      <c r="H975" s="8"/>
    </row>
    <row r="976">
      <c r="B976" s="127"/>
      <c r="C976" s="127"/>
      <c r="G976" s="8"/>
      <c r="H976" s="8"/>
    </row>
    <row r="977">
      <c r="B977" s="127"/>
      <c r="C977" s="127"/>
      <c r="G977" s="8"/>
      <c r="H977" s="8"/>
    </row>
    <row r="978">
      <c r="B978" s="127"/>
      <c r="C978" s="127"/>
      <c r="G978" s="8"/>
      <c r="H978" s="8"/>
    </row>
    <row r="979">
      <c r="B979" s="127"/>
      <c r="C979" s="127"/>
      <c r="G979" s="8"/>
      <c r="H979" s="8"/>
    </row>
    <row r="980">
      <c r="B980" s="127"/>
      <c r="C980" s="127"/>
      <c r="G980" s="8"/>
      <c r="H980" s="8"/>
    </row>
    <row r="981">
      <c r="B981" s="127"/>
      <c r="C981" s="127"/>
      <c r="G981" s="8"/>
      <c r="H981" s="8"/>
    </row>
    <row r="982">
      <c r="B982" s="127"/>
      <c r="C982" s="127"/>
      <c r="G982" s="8"/>
      <c r="H982" s="8"/>
    </row>
    <row r="983">
      <c r="B983" s="127"/>
      <c r="C983" s="127"/>
      <c r="G983" s="8"/>
      <c r="H983" s="8"/>
    </row>
    <row r="984">
      <c r="B984" s="127"/>
      <c r="C984" s="127"/>
      <c r="G984" s="8"/>
      <c r="H984" s="8"/>
    </row>
    <row r="985">
      <c r="B985" s="127"/>
      <c r="C985" s="127"/>
      <c r="G985" s="8"/>
      <c r="H985" s="8"/>
    </row>
    <row r="986">
      <c r="B986" s="127"/>
      <c r="C986" s="127"/>
      <c r="G986" s="8"/>
      <c r="H986" s="8"/>
    </row>
    <row r="987">
      <c r="B987" s="127"/>
      <c r="C987" s="127"/>
      <c r="G987" s="8"/>
      <c r="H987" s="8"/>
    </row>
    <row r="988">
      <c r="B988" s="127"/>
      <c r="C988" s="127"/>
      <c r="G988" s="8"/>
      <c r="H988" s="8"/>
    </row>
    <row r="989">
      <c r="B989" s="127"/>
      <c r="C989" s="127"/>
      <c r="G989" s="8"/>
      <c r="H989" s="8"/>
    </row>
    <row r="990">
      <c r="B990" s="127"/>
      <c r="C990" s="127"/>
      <c r="G990" s="8"/>
      <c r="H990" s="8"/>
    </row>
    <row r="991">
      <c r="B991" s="127"/>
      <c r="C991" s="127"/>
      <c r="G991" s="8"/>
      <c r="H991" s="8"/>
    </row>
    <row r="992">
      <c r="B992" s="127"/>
      <c r="C992" s="127"/>
      <c r="G992" s="8"/>
      <c r="H992" s="8"/>
    </row>
    <row r="993">
      <c r="B993" s="127"/>
      <c r="C993" s="127"/>
      <c r="G993" s="8"/>
      <c r="H993" s="8"/>
    </row>
    <row r="994">
      <c r="B994" s="127"/>
      <c r="C994" s="127"/>
      <c r="G994" s="8"/>
      <c r="H994" s="8"/>
    </row>
    <row r="995">
      <c r="B995" s="127"/>
      <c r="C995" s="127"/>
      <c r="G995" s="8"/>
      <c r="H995" s="8"/>
    </row>
    <row r="996">
      <c r="B996" s="127"/>
      <c r="C996" s="127"/>
      <c r="G996" s="8"/>
      <c r="H996" s="8"/>
    </row>
    <row r="997">
      <c r="B997" s="127"/>
      <c r="C997" s="127"/>
      <c r="G997" s="8"/>
      <c r="H997" s="8"/>
    </row>
    <row r="998">
      <c r="B998" s="127"/>
      <c r="C998" s="127"/>
      <c r="G998" s="8"/>
      <c r="H998" s="8"/>
    </row>
    <row r="999">
      <c r="B999" s="127"/>
      <c r="C999" s="127"/>
      <c r="G999" s="8"/>
      <c r="H999" s="8"/>
    </row>
    <row r="1000">
      <c r="B1000" s="127"/>
      <c r="C1000" s="127"/>
      <c r="G1000" s="8"/>
      <c r="H1000" s="8"/>
    </row>
    <row r="1001">
      <c r="B1001" s="127"/>
      <c r="C1001" s="127"/>
      <c r="G1001" s="8"/>
      <c r="H1001" s="8"/>
    </row>
    <row r="1002">
      <c r="B1002" s="127"/>
      <c r="C1002" s="127"/>
      <c r="G1002" s="8"/>
      <c r="H1002" s="8"/>
    </row>
    <row r="1003">
      <c r="B1003" s="127"/>
      <c r="C1003" s="127"/>
      <c r="G1003" s="8"/>
      <c r="H1003" s="8"/>
    </row>
    <row r="1004">
      <c r="B1004" s="127"/>
      <c r="C1004" s="127"/>
      <c r="G1004" s="8"/>
      <c r="H1004" s="8"/>
    </row>
    <row r="1005">
      <c r="B1005" s="127"/>
      <c r="C1005" s="127"/>
      <c r="G1005" s="8"/>
      <c r="H1005" s="8"/>
    </row>
    <row r="1006">
      <c r="B1006" s="127"/>
      <c r="C1006" s="127"/>
      <c r="G1006" s="8"/>
      <c r="H1006" s="8"/>
    </row>
    <row r="1007">
      <c r="B1007" s="127"/>
      <c r="C1007" s="127"/>
      <c r="G1007" s="8"/>
      <c r="H1007" s="8"/>
    </row>
    <row r="1008">
      <c r="B1008" s="127"/>
      <c r="C1008" s="127"/>
      <c r="G1008" s="8"/>
      <c r="H1008" s="8"/>
    </row>
    <row r="1009">
      <c r="B1009" s="127"/>
      <c r="C1009" s="127"/>
      <c r="G1009" s="8"/>
      <c r="H1009" s="8"/>
    </row>
    <row r="1010">
      <c r="B1010" s="127"/>
      <c r="C1010" s="127"/>
      <c r="G1010" s="8"/>
      <c r="H1010" s="8"/>
    </row>
  </sheetData>
  <dataValidations>
    <dataValidation type="list" allowBlank="1" showErrorMessage="1" sqref="D2:D9 I2:I9 D17:D25 I17:I25">
      <formula1>'Until 31.07.23'!$M$3:$M$9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4" max="4" width="11.88"/>
    <col customWidth="1" min="7" max="7" width="20.63"/>
    <col customWidth="1" min="10" max="10" width="10.88"/>
    <col customWidth="1" min="13" max="13" width="26.0"/>
  </cols>
  <sheetData>
    <row r="1">
      <c r="A1" s="29" t="s">
        <v>731</v>
      </c>
      <c r="B1" s="43" t="s">
        <v>4</v>
      </c>
      <c r="C1" s="43" t="s">
        <v>5</v>
      </c>
      <c r="D1" s="29" t="s">
        <v>754</v>
      </c>
      <c r="E1" s="29" t="s">
        <v>755</v>
      </c>
      <c r="F1" s="123"/>
      <c r="G1" s="124" t="s">
        <v>54</v>
      </c>
      <c r="H1" s="43" t="s">
        <v>4</v>
      </c>
      <c r="I1" s="43" t="s">
        <v>5</v>
      </c>
      <c r="J1" s="29" t="s">
        <v>754</v>
      </c>
      <c r="K1" s="29" t="s">
        <v>755</v>
      </c>
      <c r="M1" s="29" t="s">
        <v>756</v>
      </c>
      <c r="N1" s="43" t="s">
        <v>4</v>
      </c>
      <c r="O1" s="43" t="s">
        <v>5</v>
      </c>
      <c r="P1" s="29" t="s">
        <v>754</v>
      </c>
      <c r="Q1" s="29" t="s">
        <v>755</v>
      </c>
      <c r="S1" s="14" t="s">
        <v>757</v>
      </c>
      <c r="T1" s="14" t="s">
        <v>758</v>
      </c>
      <c r="U1" s="2" t="s">
        <v>759</v>
      </c>
    </row>
    <row r="2">
      <c r="A2" s="2" t="s">
        <v>39</v>
      </c>
      <c r="B2" s="8">
        <f>899/12</f>
        <v>74.91666667</v>
      </c>
      <c r="C2" s="7">
        <f t="shared" ref="C2:C5" si="1">B2/2</f>
        <v>37.45833333</v>
      </c>
      <c r="D2" s="2" t="s">
        <v>760</v>
      </c>
      <c r="E2" s="2" t="s">
        <v>180</v>
      </c>
      <c r="F2" s="2"/>
      <c r="G2" s="2" t="s">
        <v>63</v>
      </c>
      <c r="H2" s="8">
        <f>(600*2)/12</f>
        <v>100</v>
      </c>
      <c r="I2" s="8">
        <f>H2/2</f>
        <v>50</v>
      </c>
      <c r="J2" s="2" t="s">
        <v>761</v>
      </c>
      <c r="K2" s="2" t="s">
        <v>176</v>
      </c>
      <c r="L2" s="2"/>
      <c r="M2" s="2" t="s">
        <v>749</v>
      </c>
      <c r="N2" s="7">
        <v>500.0</v>
      </c>
      <c r="O2" s="7">
        <f t="shared" ref="O2:O3" si="2">N2/2</f>
        <v>250</v>
      </c>
      <c r="P2" s="2" t="s">
        <v>761</v>
      </c>
      <c r="Q2" s="2" t="s">
        <v>176</v>
      </c>
      <c r="S2" s="2" t="s">
        <v>176</v>
      </c>
      <c r="T2" s="2" t="s">
        <v>761</v>
      </c>
      <c r="U2" s="136" t="s">
        <v>762</v>
      </c>
    </row>
    <row r="3">
      <c r="A3" s="2" t="s">
        <v>38</v>
      </c>
      <c r="B3" s="8">
        <f>IFERROR(__xludf.DUMMYFUNCTION("GOOGLEFINANCE(""CURRENCY:USDMXN"")*6"),103.30260000000001)</f>
        <v>103.3026</v>
      </c>
      <c r="C3" s="7">
        <f t="shared" si="1"/>
        <v>51.6513</v>
      </c>
      <c r="D3" s="2" t="s">
        <v>760</v>
      </c>
      <c r="E3" s="2" t="s">
        <v>176</v>
      </c>
      <c r="F3" s="2"/>
      <c r="G3" s="2" t="s">
        <v>62</v>
      </c>
      <c r="H3" s="8">
        <f>2500/12</f>
        <v>208.3333333</v>
      </c>
      <c r="I3" s="7">
        <f>H3/2</f>
        <v>104.1666667</v>
      </c>
      <c r="J3" s="2" t="s">
        <v>761</v>
      </c>
      <c r="K3" s="2" t="s">
        <v>180</v>
      </c>
      <c r="L3" s="2"/>
      <c r="M3" s="2" t="s">
        <v>73</v>
      </c>
      <c r="N3" s="7">
        <v>650.0</v>
      </c>
      <c r="O3" s="7">
        <f t="shared" si="2"/>
        <v>325</v>
      </c>
      <c r="P3" s="2" t="s">
        <v>761</v>
      </c>
      <c r="Q3" s="2" t="s">
        <v>728</v>
      </c>
      <c r="S3" s="2" t="s">
        <v>166</v>
      </c>
      <c r="T3" s="2" t="s">
        <v>760</v>
      </c>
      <c r="U3" s="136" t="s">
        <v>763</v>
      </c>
    </row>
    <row r="4">
      <c r="A4" s="2" t="s">
        <v>727</v>
      </c>
      <c r="B4" s="7">
        <v>109.0</v>
      </c>
      <c r="C4" s="7">
        <f t="shared" si="1"/>
        <v>54.5</v>
      </c>
      <c r="D4" s="2" t="s">
        <v>760</v>
      </c>
      <c r="E4" s="2" t="s">
        <v>176</v>
      </c>
      <c r="F4" s="2"/>
      <c r="G4" s="2" t="s">
        <v>60</v>
      </c>
      <c r="H4" s="7">
        <v>600.0</v>
      </c>
      <c r="I4" s="8">
        <f t="shared" ref="I4:I7" si="3">H4/2</f>
        <v>300</v>
      </c>
      <c r="J4" s="2" t="s">
        <v>760</v>
      </c>
      <c r="K4" s="2" t="s">
        <v>85</v>
      </c>
      <c r="L4" s="2"/>
      <c r="M4" s="2" t="s">
        <v>65</v>
      </c>
      <c r="N4" s="7">
        <v>37500.0</v>
      </c>
      <c r="O4" s="7">
        <f>N4/2</f>
        <v>18750</v>
      </c>
      <c r="P4" s="2" t="s">
        <v>761</v>
      </c>
      <c r="Q4" s="2" t="s">
        <v>723</v>
      </c>
      <c r="S4" s="2" t="s">
        <v>726</v>
      </c>
      <c r="T4" s="2" t="s">
        <v>764</v>
      </c>
      <c r="U4" s="136" t="s">
        <v>765</v>
      </c>
    </row>
    <row r="5">
      <c r="A5" s="2" t="s">
        <v>696</v>
      </c>
      <c r="B5" s="8">
        <f>399/3</f>
        <v>133</v>
      </c>
      <c r="C5" s="7">
        <f t="shared" si="1"/>
        <v>66.5</v>
      </c>
      <c r="D5" s="2" t="s">
        <v>760</v>
      </c>
      <c r="E5" s="2" t="s">
        <v>176</v>
      </c>
      <c r="F5" s="2"/>
      <c r="G5" s="2" t="s">
        <v>58</v>
      </c>
      <c r="H5" s="8">
        <f>10000/12</f>
        <v>833.3333333</v>
      </c>
      <c r="I5" s="8">
        <f t="shared" si="3"/>
        <v>416.6666667</v>
      </c>
      <c r="J5" s="2" t="s">
        <v>761</v>
      </c>
      <c r="K5" s="2" t="s">
        <v>180</v>
      </c>
      <c r="L5" s="2"/>
      <c r="S5" s="2" t="s">
        <v>180</v>
      </c>
      <c r="T5" s="2" t="s">
        <v>766</v>
      </c>
      <c r="U5" s="136" t="s">
        <v>767</v>
      </c>
    </row>
    <row r="6">
      <c r="A6" s="2" t="s">
        <v>34</v>
      </c>
      <c r="B6" s="8">
        <f>2500/12</f>
        <v>208.3333333</v>
      </c>
      <c r="C6" s="8">
        <f>B6/2</f>
        <v>104.1666667</v>
      </c>
      <c r="D6" s="2" t="s">
        <v>760</v>
      </c>
      <c r="E6" s="2" t="s">
        <v>180</v>
      </c>
      <c r="F6" s="2"/>
      <c r="G6" s="2" t="s">
        <v>57</v>
      </c>
      <c r="H6" s="7">
        <v>3500.0</v>
      </c>
      <c r="I6" s="8">
        <f t="shared" si="3"/>
        <v>1750</v>
      </c>
      <c r="J6" s="2" t="s">
        <v>761</v>
      </c>
      <c r="K6" s="2" t="s">
        <v>728</v>
      </c>
      <c r="L6" s="2"/>
      <c r="M6" s="5" t="s">
        <v>741</v>
      </c>
      <c r="N6" s="8">
        <f t="shared" ref="N6:O6" si="4">SUM(N2:N4)</f>
        <v>38650</v>
      </c>
      <c r="O6" s="8">
        <f t="shared" si="4"/>
        <v>19325</v>
      </c>
      <c r="S6" s="2" t="s">
        <v>169</v>
      </c>
      <c r="T6" s="2" t="s">
        <v>768</v>
      </c>
      <c r="U6" s="136" t="s">
        <v>769</v>
      </c>
    </row>
    <row r="7">
      <c r="A7" s="2" t="s">
        <v>35</v>
      </c>
      <c r="B7" s="7">
        <v>249.0</v>
      </c>
      <c r="C7" s="7">
        <f t="shared" ref="C7:C9" si="6">B7/2</f>
        <v>124.5</v>
      </c>
      <c r="D7" s="2" t="s">
        <v>760</v>
      </c>
      <c r="E7" s="2" t="s">
        <v>176</v>
      </c>
      <c r="F7" s="2"/>
      <c r="G7" s="2" t="s">
        <v>770</v>
      </c>
      <c r="H7" s="7">
        <v>11000.0</v>
      </c>
      <c r="I7" s="7">
        <f t="shared" si="3"/>
        <v>5500</v>
      </c>
      <c r="J7" s="2" t="s">
        <v>764</v>
      </c>
      <c r="K7" s="2" t="s">
        <v>726</v>
      </c>
      <c r="L7" s="2"/>
      <c r="M7" s="129" t="s">
        <v>771</v>
      </c>
      <c r="N7" s="49">
        <f t="shared" ref="N7:O7" si="5">CEILING(N6, 100)</f>
        <v>38700</v>
      </c>
      <c r="O7" s="49">
        <f t="shared" si="5"/>
        <v>19400</v>
      </c>
      <c r="S7" s="2" t="s">
        <v>772</v>
      </c>
      <c r="U7" s="136" t="s">
        <v>773</v>
      </c>
    </row>
    <row r="8">
      <c r="A8" s="2" t="s">
        <v>32</v>
      </c>
      <c r="B8" s="7">
        <v>299.0</v>
      </c>
      <c r="C8" s="7">
        <f t="shared" si="6"/>
        <v>149.5</v>
      </c>
      <c r="D8" s="2" t="s">
        <v>760</v>
      </c>
      <c r="E8" s="2" t="s">
        <v>176</v>
      </c>
      <c r="F8" s="2"/>
      <c r="L8" s="2"/>
      <c r="S8" s="2" t="s">
        <v>728</v>
      </c>
      <c r="U8" s="136" t="s">
        <v>774</v>
      </c>
    </row>
    <row r="9">
      <c r="A9" s="2" t="s">
        <v>41</v>
      </c>
      <c r="B9" s="8">
        <f>IFERROR(__xludf.DUMMYFUNCTION("GOOGLEFINANCE(""CURRENCY:USDMXN"")*39"),671.4669000000001)</f>
        <v>671.4669</v>
      </c>
      <c r="C9" s="7">
        <f t="shared" si="6"/>
        <v>335.73345</v>
      </c>
      <c r="D9" s="2" t="s">
        <v>760</v>
      </c>
      <c r="E9" s="2" t="s">
        <v>176</v>
      </c>
      <c r="F9" s="2"/>
      <c r="H9" s="8"/>
      <c r="I9" s="8"/>
      <c r="L9" s="2"/>
      <c r="M9" s="29" t="s">
        <v>775</v>
      </c>
      <c r="N9" s="43" t="s">
        <v>4</v>
      </c>
      <c r="O9" s="43" t="s">
        <v>5</v>
      </c>
      <c r="P9" s="29" t="s">
        <v>754</v>
      </c>
      <c r="Q9" s="29" t="s">
        <v>755</v>
      </c>
      <c r="S9" s="2" t="s">
        <v>85</v>
      </c>
      <c r="U9" s="137"/>
    </row>
    <row r="10">
      <c r="A10" s="2" t="s">
        <v>40</v>
      </c>
      <c r="B10" s="7">
        <v>70.0</v>
      </c>
      <c r="C10" s="8">
        <f>70/2</f>
        <v>35</v>
      </c>
      <c r="D10" s="2" t="s">
        <v>760</v>
      </c>
      <c r="E10" s="2" t="s">
        <v>176</v>
      </c>
      <c r="M10" s="2" t="s">
        <v>746</v>
      </c>
      <c r="N10" s="8">
        <f>600/12</f>
        <v>50</v>
      </c>
      <c r="O10" s="7">
        <f t="shared" ref="O10:O13" si="8">N10/2</f>
        <v>25</v>
      </c>
      <c r="P10" s="2" t="s">
        <v>761</v>
      </c>
      <c r="Q10" s="2" t="s">
        <v>180</v>
      </c>
      <c r="S10" s="2" t="s">
        <v>776</v>
      </c>
      <c r="U10" s="136" t="s">
        <v>777</v>
      </c>
    </row>
    <row r="11">
      <c r="G11" s="5" t="s">
        <v>741</v>
      </c>
      <c r="H11" s="8">
        <f t="shared" ref="H11:I11" si="7">SUM(H2:H7)</f>
        <v>16241.66667</v>
      </c>
      <c r="I11" s="8">
        <f t="shared" si="7"/>
        <v>8120.833333</v>
      </c>
      <c r="M11" s="2" t="s">
        <v>77</v>
      </c>
      <c r="N11" s="7">
        <v>200.0</v>
      </c>
      <c r="O11" s="7">
        <f t="shared" si="8"/>
        <v>100</v>
      </c>
      <c r="P11" s="2" t="s">
        <v>761</v>
      </c>
      <c r="Q11" s="2" t="s">
        <v>176</v>
      </c>
      <c r="S11" s="2" t="s">
        <v>202</v>
      </c>
      <c r="U11" s="136" t="s">
        <v>778</v>
      </c>
    </row>
    <row r="12">
      <c r="A12" s="5" t="s">
        <v>741</v>
      </c>
      <c r="B12" s="8">
        <f t="shared" ref="B12:C12" si="9">SUM(B2:B10)</f>
        <v>1918.0195</v>
      </c>
      <c r="C12" s="8">
        <f t="shared" si="9"/>
        <v>959.00975</v>
      </c>
      <c r="D12" s="50"/>
      <c r="E12" s="50"/>
      <c r="F12" s="50"/>
      <c r="G12" s="129" t="s">
        <v>771</v>
      </c>
      <c r="H12" s="49">
        <f t="shared" ref="H12:I12" si="10">CEILING(H11, 100)</f>
        <v>16300</v>
      </c>
      <c r="I12" s="49">
        <f t="shared" si="10"/>
        <v>8200</v>
      </c>
      <c r="M12" s="2" t="s">
        <v>779</v>
      </c>
      <c r="N12" s="7">
        <v>1800.0</v>
      </c>
      <c r="O12" s="7">
        <f t="shared" si="8"/>
        <v>900</v>
      </c>
      <c r="P12" s="2" t="s">
        <v>761</v>
      </c>
      <c r="Q12" s="2" t="s">
        <v>169</v>
      </c>
      <c r="S12" s="2" t="s">
        <v>723</v>
      </c>
      <c r="U12" s="136" t="s">
        <v>780</v>
      </c>
    </row>
    <row r="13">
      <c r="A13" s="129" t="s">
        <v>781</v>
      </c>
      <c r="B13" s="130">
        <f t="shared" ref="B13:C13" si="11">CEILING(B12, 100)</f>
        <v>2000</v>
      </c>
      <c r="C13" s="130">
        <f t="shared" si="11"/>
        <v>1000</v>
      </c>
      <c r="G13" s="2"/>
      <c r="H13" s="8"/>
      <c r="I13" s="8"/>
      <c r="M13" s="2" t="s">
        <v>82</v>
      </c>
      <c r="N13" s="7">
        <f>6500</f>
        <v>6500</v>
      </c>
      <c r="O13" s="7">
        <f t="shared" si="8"/>
        <v>3250</v>
      </c>
      <c r="P13" s="2" t="s">
        <v>766</v>
      </c>
      <c r="Q13" s="2" t="s">
        <v>166</v>
      </c>
    </row>
    <row r="14">
      <c r="B14" s="127"/>
      <c r="C14" s="127"/>
      <c r="H14" s="8"/>
      <c r="I14" s="8"/>
      <c r="M14" s="5" t="s">
        <v>65</v>
      </c>
      <c r="N14" s="7"/>
      <c r="O14" s="7"/>
      <c r="P14" s="2" t="s">
        <v>764</v>
      </c>
      <c r="Q14" s="2" t="s">
        <v>166</v>
      </c>
    </row>
    <row r="15">
      <c r="B15" s="127"/>
      <c r="C15" s="127"/>
      <c r="H15" s="8"/>
      <c r="I15" s="8"/>
      <c r="M15" s="5" t="s">
        <v>741</v>
      </c>
      <c r="N15" s="8">
        <f t="shared" ref="N15:O15" si="12">SUM(N10:N14)</f>
        <v>8550</v>
      </c>
      <c r="O15" s="8">
        <f t="shared" si="12"/>
        <v>4275</v>
      </c>
    </row>
    <row r="16">
      <c r="B16" s="127"/>
      <c r="C16" s="127"/>
      <c r="H16" s="8"/>
      <c r="I16" s="8"/>
      <c r="M16" s="129" t="s">
        <v>771</v>
      </c>
      <c r="N16" s="49">
        <f t="shared" ref="N16:O16" si="13">CEILING(N15, 100)</f>
        <v>8600</v>
      </c>
      <c r="O16" s="49">
        <f t="shared" si="13"/>
        <v>4300</v>
      </c>
    </row>
    <row r="17">
      <c r="A17" s="29"/>
      <c r="B17" s="43"/>
      <c r="C17" s="43"/>
      <c r="D17" s="29"/>
      <c r="E17" s="29"/>
      <c r="F17" s="123"/>
      <c r="G17" s="29"/>
      <c r="H17" s="43"/>
      <c r="I17" s="43"/>
      <c r="J17" s="29"/>
      <c r="K17" s="29"/>
      <c r="M17" s="124"/>
      <c r="N17" s="43"/>
      <c r="O17" s="43"/>
      <c r="P17" s="29"/>
      <c r="Q17" s="29"/>
    </row>
    <row r="18">
      <c r="A18" s="29" t="s">
        <v>42</v>
      </c>
      <c r="B18" s="43" t="s">
        <v>4</v>
      </c>
      <c r="C18" s="43" t="s">
        <v>5</v>
      </c>
      <c r="D18" s="29" t="s">
        <v>754</v>
      </c>
      <c r="E18" s="29" t="s">
        <v>755</v>
      </c>
      <c r="F18" s="123"/>
      <c r="G18" s="29" t="s">
        <v>782</v>
      </c>
      <c r="H18" s="43" t="s">
        <v>4</v>
      </c>
      <c r="I18" s="43" t="s">
        <v>5</v>
      </c>
      <c r="J18" s="29" t="s">
        <v>754</v>
      </c>
      <c r="K18" s="29" t="s">
        <v>755</v>
      </c>
      <c r="M18" s="124" t="s">
        <v>783</v>
      </c>
      <c r="N18" s="43" t="s">
        <v>4</v>
      </c>
      <c r="O18" s="43" t="s">
        <v>5</v>
      </c>
      <c r="P18" s="29" t="s">
        <v>754</v>
      </c>
      <c r="Q18" s="29" t="s">
        <v>755</v>
      </c>
    </row>
    <row r="19">
      <c r="A19" s="2" t="s">
        <v>752</v>
      </c>
      <c r="B19" s="7">
        <v>499.0</v>
      </c>
      <c r="C19" s="7">
        <f t="shared" ref="C19:C21" si="14">B19/2</f>
        <v>249.5</v>
      </c>
      <c r="D19" s="2" t="s">
        <v>760</v>
      </c>
      <c r="E19" s="2" t="s">
        <v>176</v>
      </c>
      <c r="F19" s="2"/>
      <c r="G19" s="2" t="s">
        <v>86</v>
      </c>
      <c r="H19" s="7">
        <v>2000.0</v>
      </c>
      <c r="I19" s="8">
        <f t="shared" ref="I19:I24" si="15">H19/2</f>
        <v>1000</v>
      </c>
      <c r="J19" s="2" t="s">
        <v>760</v>
      </c>
      <c r="K19" s="2" t="s">
        <v>772</v>
      </c>
      <c r="L19" s="2"/>
      <c r="M19" s="2" t="s">
        <v>26</v>
      </c>
      <c r="N19" s="8">
        <f t="shared" ref="N19:N20" si="16">(7500)/12</f>
        <v>625</v>
      </c>
      <c r="O19" s="8">
        <f t="shared" ref="O19:O23" si="17">N19/2</f>
        <v>312.5</v>
      </c>
      <c r="P19" s="2" t="s">
        <v>766</v>
      </c>
      <c r="Q19" s="2" t="s">
        <v>180</v>
      </c>
    </row>
    <row r="20">
      <c r="A20" s="2" t="s">
        <v>753</v>
      </c>
      <c r="B20" s="7">
        <f>499+199</f>
        <v>698</v>
      </c>
      <c r="C20" s="7">
        <f t="shared" si="14"/>
        <v>349</v>
      </c>
      <c r="D20" s="2" t="s">
        <v>760</v>
      </c>
      <c r="E20" s="2" t="s">
        <v>176</v>
      </c>
      <c r="F20" s="2"/>
      <c r="G20" s="2" t="s">
        <v>730</v>
      </c>
      <c r="H20" s="8">
        <f>500*8</f>
        <v>4000</v>
      </c>
      <c r="I20" s="8">
        <f t="shared" si="15"/>
        <v>2000</v>
      </c>
      <c r="J20" s="2" t="s">
        <v>760</v>
      </c>
      <c r="K20" s="2" t="s">
        <v>85</v>
      </c>
      <c r="L20" s="2"/>
      <c r="M20" s="2" t="s">
        <v>20</v>
      </c>
      <c r="N20" s="7">
        <f t="shared" si="16"/>
        <v>625</v>
      </c>
      <c r="O20" s="8">
        <f t="shared" si="17"/>
        <v>312.5</v>
      </c>
      <c r="P20" s="2" t="s">
        <v>766</v>
      </c>
      <c r="Q20" s="2" t="s">
        <v>180</v>
      </c>
    </row>
    <row r="21">
      <c r="A21" s="2" t="s">
        <v>751</v>
      </c>
      <c r="B21" s="7">
        <v>1169.0</v>
      </c>
      <c r="C21" s="7">
        <f t="shared" si="14"/>
        <v>584.5</v>
      </c>
      <c r="D21" s="2" t="s">
        <v>761</v>
      </c>
      <c r="E21" s="2" t="s">
        <v>176</v>
      </c>
      <c r="F21" s="2"/>
      <c r="G21" s="2" t="s">
        <v>85</v>
      </c>
      <c r="H21" s="7">
        <v>4000.0</v>
      </c>
      <c r="I21" s="8">
        <f t="shared" si="15"/>
        <v>2000</v>
      </c>
      <c r="J21" s="2" t="s">
        <v>761</v>
      </c>
      <c r="K21" s="2" t="s">
        <v>85</v>
      </c>
      <c r="L21" s="2"/>
      <c r="M21" s="2" t="s">
        <v>652</v>
      </c>
      <c r="N21" s="7">
        <v>1200.0</v>
      </c>
      <c r="O21" s="8">
        <f t="shared" si="17"/>
        <v>600</v>
      </c>
      <c r="P21" s="2" t="s">
        <v>760</v>
      </c>
      <c r="Q21" s="2" t="s">
        <v>772</v>
      </c>
    </row>
    <row r="22">
      <c r="F22" s="2"/>
      <c r="G22" s="2" t="s">
        <v>84</v>
      </c>
      <c r="H22" s="7">
        <v>7000.0</v>
      </c>
      <c r="I22" s="8">
        <f t="shared" si="15"/>
        <v>3500</v>
      </c>
      <c r="J22" s="2" t="s">
        <v>760</v>
      </c>
      <c r="K22" s="2" t="s">
        <v>728</v>
      </c>
      <c r="L22" s="2"/>
      <c r="M22" s="2" t="s">
        <v>15</v>
      </c>
      <c r="N22" s="7">
        <f>7124+1600+600</f>
        <v>9324</v>
      </c>
      <c r="O22" s="8">
        <f t="shared" si="17"/>
        <v>4662</v>
      </c>
      <c r="P22" s="2" t="s">
        <v>761</v>
      </c>
      <c r="Q22" s="2" t="s">
        <v>723</v>
      </c>
    </row>
    <row r="23">
      <c r="F23" s="2"/>
      <c r="G23" s="2" t="s">
        <v>194</v>
      </c>
      <c r="H23" s="7">
        <v>12000.0</v>
      </c>
      <c r="I23" s="8">
        <f t="shared" si="15"/>
        <v>6000</v>
      </c>
      <c r="J23" s="2" t="s">
        <v>761</v>
      </c>
      <c r="K23" s="2" t="s">
        <v>728</v>
      </c>
      <c r="L23" s="2"/>
      <c r="M23" s="2" t="s">
        <v>12</v>
      </c>
      <c r="N23" s="7">
        <f>7520+1600+600</f>
        <v>9720</v>
      </c>
      <c r="O23" s="7">
        <f t="shared" si="17"/>
        <v>4860</v>
      </c>
      <c r="P23" s="2" t="s">
        <v>761</v>
      </c>
      <c r="Q23" s="2" t="s">
        <v>723</v>
      </c>
    </row>
    <row r="24">
      <c r="F24" s="2"/>
      <c r="G24" s="2" t="s">
        <v>699</v>
      </c>
      <c r="H24" s="7"/>
      <c r="I24" s="8">
        <f t="shared" si="15"/>
        <v>0</v>
      </c>
      <c r="J24" s="2" t="s">
        <v>764</v>
      </c>
      <c r="K24" s="2" t="s">
        <v>180</v>
      </c>
      <c r="L24" s="2"/>
      <c r="M24" s="2"/>
      <c r="N24" s="7"/>
      <c r="O24" s="8"/>
      <c r="P24" s="2"/>
      <c r="Q24" s="2"/>
    </row>
    <row r="25" ht="16.5" customHeight="1">
      <c r="A25" s="5"/>
      <c r="B25" s="138"/>
      <c r="C25" s="138"/>
      <c r="F25" s="2"/>
      <c r="G25" s="5"/>
      <c r="H25" s="138"/>
      <c r="I25" s="138"/>
      <c r="L25" s="2"/>
      <c r="M25" s="5"/>
      <c r="N25" s="8"/>
      <c r="O25" s="8"/>
    </row>
    <row r="26" ht="16.5" customHeight="1">
      <c r="A26" s="5" t="s">
        <v>741</v>
      </c>
      <c r="B26" s="138">
        <f t="shared" ref="B26:C26" si="18">SUM(B19:B22)</f>
        <v>2366</v>
      </c>
      <c r="C26" s="138">
        <f t="shared" si="18"/>
        <v>1183</v>
      </c>
      <c r="F26" s="2"/>
      <c r="G26" s="5" t="s">
        <v>741</v>
      </c>
      <c r="H26" s="138">
        <f t="shared" ref="H26:I26" si="19">SUM(H19:H25)</f>
        <v>29000</v>
      </c>
      <c r="I26" s="138">
        <f t="shared" si="19"/>
        <v>14500</v>
      </c>
      <c r="L26" s="2"/>
      <c r="M26" s="5" t="s">
        <v>741</v>
      </c>
      <c r="N26" s="8">
        <f t="shared" ref="N26:O26" si="20">SUM(N19:N23)</f>
        <v>21494</v>
      </c>
      <c r="O26" s="8">
        <f t="shared" si="20"/>
        <v>10747</v>
      </c>
    </row>
    <row r="27">
      <c r="A27" s="129" t="s">
        <v>771</v>
      </c>
      <c r="B27" s="130">
        <f t="shared" ref="B27:C27" si="21">CEILING(B26, 100)</f>
        <v>2400</v>
      </c>
      <c r="C27" s="130">
        <f t="shared" si="21"/>
        <v>1200</v>
      </c>
      <c r="F27" s="2"/>
      <c r="G27" s="129" t="s">
        <v>771</v>
      </c>
      <c r="H27" s="49">
        <f t="shared" ref="H27:I27" si="22">CEILING(H26, 100)</f>
        <v>29000</v>
      </c>
      <c r="I27" s="49">
        <f t="shared" si="22"/>
        <v>14500</v>
      </c>
      <c r="L27" s="2"/>
      <c r="M27" s="129" t="s">
        <v>771</v>
      </c>
      <c r="N27" s="49">
        <f t="shared" ref="N27:O27" si="23">CEILING(N26, 100)</f>
        <v>21500</v>
      </c>
      <c r="O27" s="49">
        <f t="shared" si="23"/>
        <v>10800</v>
      </c>
    </row>
    <row r="28">
      <c r="F28" s="2"/>
      <c r="L28" s="2"/>
    </row>
    <row r="29">
      <c r="F29" s="2"/>
      <c r="L29" s="2"/>
    </row>
    <row r="30">
      <c r="F30" s="2"/>
    </row>
    <row r="31">
      <c r="A31" s="129" t="s">
        <v>48</v>
      </c>
      <c r="B31" s="49"/>
      <c r="C31" s="49"/>
      <c r="D31" s="50"/>
      <c r="E31" s="50"/>
      <c r="F31" s="50"/>
    </row>
    <row r="32">
      <c r="A32" s="2" t="s">
        <v>784</v>
      </c>
      <c r="B32" s="7">
        <v>3000.0</v>
      </c>
      <c r="C32" s="7">
        <f>B32/2</f>
        <v>1500</v>
      </c>
      <c r="D32" s="2" t="s">
        <v>764</v>
      </c>
      <c r="E32" s="2" t="s">
        <v>176</v>
      </c>
      <c r="F32" s="50"/>
      <c r="R32" s="2" t="s">
        <v>93</v>
      </c>
    </row>
    <row r="33">
      <c r="A33" s="2" t="s">
        <v>785</v>
      </c>
      <c r="B33" s="7">
        <v>8000.0</v>
      </c>
      <c r="C33" s="8">
        <f>B33/2</f>
        <v>4000</v>
      </c>
      <c r="D33" s="2" t="s">
        <v>764</v>
      </c>
      <c r="E33" s="2" t="s">
        <v>728</v>
      </c>
      <c r="F33" s="50"/>
      <c r="O33" s="2" t="s">
        <v>180</v>
      </c>
      <c r="P33" s="40">
        <f t="shared" ref="P33:P41" si="24">SUMIF($E$2:$E$34, O33, $C$2:$C$34) + SUMIF($K$2:$K$25, O33, $I$2:$I$25) + SUMIF($Q$2:$Q$25, O33, $O$2:$O$25)</f>
        <v>1312.458333</v>
      </c>
      <c r="Q33" s="8">
        <f t="shared" ref="Q33:Q41" si="25">CEILING(P33, 100)</f>
        <v>1400</v>
      </c>
      <c r="R33" s="2" t="s">
        <v>241</v>
      </c>
    </row>
    <row r="34">
      <c r="B34" s="127"/>
      <c r="C34" s="127"/>
      <c r="H34" s="8"/>
      <c r="I34" s="8"/>
      <c r="O34" s="2" t="s">
        <v>169</v>
      </c>
      <c r="P34" s="40">
        <f t="shared" si="24"/>
        <v>900</v>
      </c>
      <c r="Q34" s="8">
        <f t="shared" si="25"/>
        <v>900</v>
      </c>
      <c r="R34" s="2" t="s">
        <v>241</v>
      </c>
    </row>
    <row r="35">
      <c r="A35" s="5" t="s">
        <v>741</v>
      </c>
      <c r="B35" s="138">
        <f t="shared" ref="B35:C35" si="26">SUM(B31:B34)</f>
        <v>11000</v>
      </c>
      <c r="C35" s="138">
        <f t="shared" si="26"/>
        <v>5500</v>
      </c>
      <c r="H35" s="8"/>
      <c r="I35" s="8"/>
      <c r="O35" s="2" t="s">
        <v>772</v>
      </c>
      <c r="P35" s="40">
        <f t="shared" si="24"/>
        <v>1600</v>
      </c>
      <c r="Q35" s="8">
        <f t="shared" si="25"/>
        <v>1600</v>
      </c>
      <c r="R35" s="2" t="s">
        <v>241</v>
      </c>
    </row>
    <row r="36">
      <c r="A36" s="129" t="s">
        <v>771</v>
      </c>
      <c r="B36" s="130">
        <f t="shared" ref="B36:C36" si="27">CEILING(B35, 100)</f>
        <v>11000</v>
      </c>
      <c r="C36" s="130">
        <f t="shared" si="27"/>
        <v>5500</v>
      </c>
      <c r="H36" s="8"/>
      <c r="I36" s="8"/>
      <c r="O36" s="2" t="s">
        <v>176</v>
      </c>
      <c r="P36" s="40">
        <f t="shared" si="24"/>
        <v>3900.38475</v>
      </c>
      <c r="Q36" s="8">
        <f t="shared" si="25"/>
        <v>4000</v>
      </c>
      <c r="R36" s="2" t="s">
        <v>241</v>
      </c>
    </row>
    <row r="37">
      <c r="B37" s="127"/>
      <c r="C37" s="127"/>
      <c r="H37" s="8"/>
      <c r="I37" s="8"/>
      <c r="O37" s="2" t="s">
        <v>726</v>
      </c>
      <c r="P37" s="40">
        <f t="shared" si="24"/>
        <v>5500</v>
      </c>
      <c r="Q37" s="8">
        <f t="shared" si="25"/>
        <v>5500</v>
      </c>
      <c r="R37" s="2" t="s">
        <v>241</v>
      </c>
    </row>
    <row r="38">
      <c r="A38" s="2" t="s">
        <v>742</v>
      </c>
      <c r="B38" s="7">
        <f>B39/2</f>
        <v>66000</v>
      </c>
      <c r="C38" s="127"/>
      <c r="H38" s="8"/>
      <c r="I38" s="8"/>
      <c r="O38" s="2" t="s">
        <v>166</v>
      </c>
      <c r="P38" s="40">
        <f t="shared" si="24"/>
        <v>3250</v>
      </c>
      <c r="Q38" s="8">
        <f t="shared" si="25"/>
        <v>3300</v>
      </c>
      <c r="R38" s="2" t="s">
        <v>241</v>
      </c>
    </row>
    <row r="39">
      <c r="A39" s="54" t="s">
        <v>1</v>
      </c>
      <c r="B39" s="55">
        <v>132000.0</v>
      </c>
      <c r="C39" s="127"/>
      <c r="H39" s="8"/>
      <c r="I39" s="8"/>
      <c r="O39" s="2" t="s">
        <v>728</v>
      </c>
      <c r="P39" s="40">
        <f t="shared" si="24"/>
        <v>15575</v>
      </c>
      <c r="Q39" s="8">
        <f t="shared" si="25"/>
        <v>15600</v>
      </c>
    </row>
    <row r="40">
      <c r="B40" s="8"/>
      <c r="C40" s="127"/>
      <c r="F40" s="2"/>
      <c r="G40" s="134">
        <f>SUMIF($D$2:$D$34,T2,$C2:$C$34)+SUMIF($J$2:$J$25,T2,$I2:I$25)+SUMIF($P$2:$P$25,T2,$O$2:$O$25)</f>
        <v>40777.33333</v>
      </c>
      <c r="H40" s="8">
        <f>CEILING(G40*2, 100)</f>
        <v>81600</v>
      </c>
      <c r="I40" s="8">
        <f>CEILING(H40, 100)</f>
        <v>81600</v>
      </c>
      <c r="J40" s="139">
        <f t="shared" ref="J40:J42" si="28">((I40*100)/$B$39)/100</f>
        <v>0.6181818182</v>
      </c>
      <c r="K40" s="139"/>
      <c r="L40" s="139"/>
      <c r="O40" s="2" t="s">
        <v>723</v>
      </c>
      <c r="P40" s="40">
        <f t="shared" si="24"/>
        <v>28272</v>
      </c>
      <c r="Q40" s="8">
        <f t="shared" si="25"/>
        <v>28300</v>
      </c>
      <c r="R40" s="2" t="s">
        <v>241</v>
      </c>
    </row>
    <row r="41">
      <c r="C41" s="127"/>
      <c r="F41" s="2"/>
      <c r="G41" s="134">
        <f>SUMIF($D$2:$D$34,T3,$C$2:$C$34)+SUMIF($J$2:$J$25,T3,$I$2:$I$25)+SUMIF($P$2:$P$25,T3,$O$2:$O$25)</f>
        <v>8957.50975</v>
      </c>
      <c r="H41" s="8">
        <f t="shared" ref="H41:H42" si="29">CEILING(G41, 100)</f>
        <v>9000</v>
      </c>
      <c r="I41" s="8">
        <f t="shared" ref="I41:I42" si="30">CEILING(H41*2, 100)</f>
        <v>18000</v>
      </c>
      <c r="J41" s="139">
        <f t="shared" si="28"/>
        <v>0.1363636364</v>
      </c>
      <c r="K41" s="139"/>
      <c r="L41" s="139"/>
      <c r="O41" s="2" t="s">
        <v>85</v>
      </c>
      <c r="P41" s="40">
        <f t="shared" si="24"/>
        <v>4300</v>
      </c>
      <c r="Q41" s="8">
        <f t="shared" si="25"/>
        <v>4300</v>
      </c>
    </row>
    <row r="42">
      <c r="C42" s="127"/>
      <c r="F42" s="2"/>
      <c r="G42" s="134">
        <f>SUMIF($D$2:$D$34,T4,$C2:$C34)+SUMIF($J$2:$J$25,T4,$I$2:$I$25)+SUMIF($P$2:$P$25,T4,$O$2:$O$25)+SUMIF($D$2:$D$34,T5,$C2:$C34)+SUMIF($J$2:$J$25,T5,$I$2:$I$25)+SUMIF($P$2:$P$25,T5,$O$2:$O$25)</f>
        <v>14875</v>
      </c>
      <c r="H42" s="8">
        <f t="shared" si="29"/>
        <v>14900</v>
      </c>
      <c r="I42" s="8">
        <f t="shared" si="30"/>
        <v>29800</v>
      </c>
      <c r="J42" s="139">
        <f t="shared" si="28"/>
        <v>0.2257575758</v>
      </c>
      <c r="K42" s="139"/>
      <c r="L42" s="139"/>
    </row>
    <row r="43">
      <c r="C43" s="127"/>
      <c r="G43" s="134"/>
      <c r="H43" s="8"/>
      <c r="I43" s="8"/>
    </row>
    <row r="44">
      <c r="C44" s="127"/>
      <c r="G44" s="8">
        <f>SUM(G40:G42)</f>
        <v>64609.84308</v>
      </c>
      <c r="H44" s="8"/>
      <c r="I44" s="8">
        <f>M43-SUM(I40:I42)</f>
        <v>-129400</v>
      </c>
      <c r="J44" s="139">
        <f>SUM(J40:J42)</f>
        <v>0.9803030303</v>
      </c>
      <c r="P44" s="8">
        <f t="shared" ref="P44:Q44" si="31">SUM(P33:P41)</f>
        <v>64609.84308</v>
      </c>
      <c r="Q44" s="8">
        <f t="shared" si="31"/>
        <v>64900</v>
      </c>
    </row>
    <row r="45">
      <c r="A45" s="140"/>
      <c r="B45" s="141"/>
      <c r="C45" s="127"/>
      <c r="G45" s="8"/>
      <c r="H45" s="8"/>
      <c r="I45" s="8"/>
    </row>
    <row r="46">
      <c r="A46" s="129"/>
      <c r="B46" s="50"/>
      <c r="C46" s="127"/>
      <c r="G46" s="8"/>
      <c r="H46" s="7"/>
      <c r="I46" s="8"/>
      <c r="M46" s="8">
        <f>I11+I26+O6+O15+O26+C12+C26+C35</f>
        <v>64609.84308</v>
      </c>
    </row>
    <row r="47">
      <c r="B47" s="127"/>
      <c r="C47" s="127"/>
      <c r="H47" s="7"/>
      <c r="I47" s="8"/>
    </row>
    <row r="48">
      <c r="B48" s="127"/>
      <c r="C48" s="127"/>
      <c r="G48" s="8"/>
      <c r="H48" s="7"/>
      <c r="I48" s="7"/>
      <c r="M48" s="142"/>
    </row>
    <row r="49">
      <c r="B49" s="127"/>
      <c r="C49" s="127"/>
      <c r="H49" s="7"/>
      <c r="I49" s="8"/>
    </row>
    <row r="50">
      <c r="B50" s="127"/>
      <c r="C50" s="127"/>
      <c r="H50" s="8"/>
    </row>
    <row r="51">
      <c r="B51" s="127"/>
      <c r="C51" s="127"/>
      <c r="H51" s="8"/>
      <c r="I51" s="8"/>
    </row>
    <row r="52">
      <c r="B52" s="127"/>
      <c r="C52" s="126"/>
      <c r="G52" s="7"/>
      <c r="I52" s="8"/>
    </row>
    <row r="53">
      <c r="B53" s="127"/>
      <c r="C53" s="7"/>
      <c r="G53" s="7"/>
      <c r="H53" s="7"/>
      <c r="I53" s="8"/>
    </row>
    <row r="54">
      <c r="B54" s="127"/>
      <c r="C54" s="7"/>
      <c r="G54" s="7"/>
      <c r="H54" s="7"/>
      <c r="I54" s="8"/>
    </row>
    <row r="55">
      <c r="B55" s="127"/>
      <c r="C55" s="7"/>
      <c r="G55" s="40"/>
      <c r="H55" s="42"/>
      <c r="I55" s="8"/>
    </row>
    <row r="56">
      <c r="B56" s="127"/>
      <c r="C56" s="7"/>
      <c r="G56" s="40"/>
      <c r="H56" s="42"/>
      <c r="I56" s="8"/>
    </row>
    <row r="57">
      <c r="B57" s="127"/>
      <c r="C57" s="7"/>
      <c r="G57" s="40"/>
      <c r="H57" s="42"/>
      <c r="I57" s="126"/>
      <c r="J57" s="126"/>
      <c r="K57" s="126"/>
      <c r="L57" s="126"/>
    </row>
    <row r="58">
      <c r="B58" s="8"/>
      <c r="C58" s="8"/>
      <c r="G58" s="40"/>
      <c r="H58" s="42"/>
      <c r="I58" s="127"/>
      <c r="J58" s="126"/>
      <c r="K58" s="126"/>
      <c r="L58" s="126"/>
    </row>
    <row r="59">
      <c r="B59" s="126"/>
      <c r="C59" s="7"/>
      <c r="G59" s="40"/>
      <c r="H59" s="42"/>
      <c r="I59" s="126"/>
      <c r="J59" s="126"/>
      <c r="K59" s="126"/>
      <c r="L59" s="126"/>
    </row>
    <row r="60">
      <c r="B60" s="126"/>
      <c r="C60" s="7"/>
      <c r="G60" s="8"/>
      <c r="I60" s="127"/>
      <c r="J60" s="126"/>
      <c r="K60" s="126"/>
      <c r="L60" s="126"/>
    </row>
    <row r="61">
      <c r="B61" s="126"/>
      <c r="C61" s="7"/>
      <c r="I61" s="126"/>
      <c r="J61" s="126"/>
      <c r="K61" s="126"/>
      <c r="L61" s="126"/>
    </row>
    <row r="62">
      <c r="B62" s="126"/>
      <c r="C62" s="7"/>
      <c r="I62" s="127"/>
      <c r="J62" s="126"/>
      <c r="K62" s="126"/>
      <c r="L62" s="126"/>
    </row>
    <row r="63">
      <c r="A63" s="42"/>
      <c r="B63" s="40"/>
      <c r="C63" s="40"/>
      <c r="D63" s="42"/>
      <c r="E63" s="42"/>
      <c r="F63" s="42"/>
      <c r="I63" s="127"/>
      <c r="J63" s="126"/>
      <c r="K63" s="126"/>
      <c r="L63" s="126"/>
    </row>
    <row r="64">
      <c r="A64" s="42"/>
      <c r="B64" s="40"/>
      <c r="C64" s="40"/>
      <c r="D64" s="42"/>
      <c r="E64" s="42"/>
      <c r="F64" s="42"/>
      <c r="I64" s="127"/>
      <c r="J64" s="127"/>
      <c r="K64" s="127"/>
      <c r="L64" s="127"/>
    </row>
    <row r="65">
      <c r="A65" s="42"/>
      <c r="B65" s="40"/>
      <c r="C65" s="40"/>
      <c r="D65" s="42"/>
      <c r="E65" s="42"/>
      <c r="F65" s="42"/>
      <c r="I65" s="126"/>
      <c r="J65" s="126"/>
      <c r="K65" s="126"/>
      <c r="L65" s="126"/>
    </row>
    <row r="66">
      <c r="A66" s="42"/>
      <c r="B66" s="40"/>
      <c r="C66" s="40"/>
      <c r="D66" s="42"/>
      <c r="E66" s="42"/>
      <c r="F66" s="42"/>
      <c r="I66" s="126"/>
      <c r="J66" s="126"/>
      <c r="K66" s="126"/>
      <c r="L66" s="126"/>
    </row>
    <row r="67">
      <c r="A67" s="42"/>
      <c r="B67" s="40"/>
      <c r="C67" s="40"/>
      <c r="D67" s="42"/>
      <c r="E67" s="42"/>
      <c r="F67" s="42"/>
      <c r="I67" s="7"/>
      <c r="J67" s="8"/>
      <c r="K67" s="8"/>
      <c r="L67" s="8"/>
    </row>
    <row r="68">
      <c r="A68" s="42"/>
      <c r="B68" s="40"/>
      <c r="C68" s="40"/>
      <c r="D68" s="42"/>
      <c r="E68" s="42"/>
      <c r="F68" s="42"/>
      <c r="I68" s="8"/>
      <c r="J68" s="8"/>
      <c r="K68" s="8"/>
      <c r="L68" s="8"/>
    </row>
    <row r="69">
      <c r="A69" s="42"/>
      <c r="B69" s="40"/>
      <c r="C69" s="40"/>
      <c r="D69" s="42"/>
      <c r="E69" s="42"/>
      <c r="F69" s="42"/>
      <c r="I69" s="7"/>
      <c r="J69" s="8"/>
      <c r="K69" s="8"/>
      <c r="L69" s="8"/>
    </row>
    <row r="70">
      <c r="B70" s="127"/>
      <c r="C70" s="127"/>
      <c r="H70" s="8"/>
      <c r="I70" s="8"/>
    </row>
    <row r="71">
      <c r="B71" s="127"/>
      <c r="C71" s="127"/>
      <c r="H71" s="8"/>
      <c r="I71" s="8"/>
    </row>
    <row r="72">
      <c r="B72" s="127"/>
      <c r="C72" s="127"/>
      <c r="H72" s="8"/>
      <c r="I72" s="8"/>
    </row>
    <row r="73">
      <c r="B73" s="127"/>
      <c r="C73" s="127"/>
      <c r="H73" s="8"/>
      <c r="I73" s="8"/>
    </row>
    <row r="74">
      <c r="B74" s="127"/>
      <c r="C74" s="127"/>
      <c r="H74" s="8"/>
      <c r="I74" s="8"/>
    </row>
    <row r="75">
      <c r="B75" s="127"/>
      <c r="C75" s="127"/>
      <c r="H75" s="8"/>
      <c r="I75" s="8"/>
    </row>
    <row r="76">
      <c r="B76" s="127"/>
      <c r="C76" s="127"/>
      <c r="H76" s="8"/>
      <c r="I76" s="8"/>
    </row>
    <row r="77">
      <c r="B77" s="127"/>
      <c r="C77" s="127"/>
      <c r="H77" s="8"/>
      <c r="I77" s="8"/>
    </row>
    <row r="78">
      <c r="B78" s="127"/>
      <c r="C78" s="127"/>
      <c r="H78" s="8"/>
      <c r="I78" s="8"/>
    </row>
    <row r="79">
      <c r="B79" s="127"/>
      <c r="C79" s="127"/>
      <c r="H79" s="8"/>
      <c r="I79" s="8"/>
    </row>
    <row r="80">
      <c r="B80" s="127"/>
      <c r="C80" s="127"/>
      <c r="H80" s="8"/>
      <c r="I80" s="8"/>
    </row>
    <row r="81">
      <c r="B81" s="127"/>
      <c r="C81" s="127"/>
      <c r="H81" s="8"/>
      <c r="I81" s="8"/>
    </row>
    <row r="82">
      <c r="B82" s="127"/>
      <c r="C82" s="127"/>
      <c r="H82" s="8"/>
      <c r="I82" s="8"/>
    </row>
    <row r="83">
      <c r="B83" s="127"/>
      <c r="C83" s="127"/>
      <c r="H83" s="8"/>
      <c r="I83" s="8"/>
    </row>
    <row r="84">
      <c r="B84" s="127"/>
      <c r="C84" s="127"/>
      <c r="H84" s="8"/>
      <c r="I84" s="8"/>
    </row>
    <row r="85">
      <c r="B85" s="127"/>
      <c r="C85" s="127"/>
      <c r="H85" s="8"/>
      <c r="I85" s="8"/>
    </row>
    <row r="86">
      <c r="B86" s="127"/>
      <c r="C86" s="127"/>
      <c r="H86" s="8"/>
      <c r="I86" s="8"/>
    </row>
    <row r="87">
      <c r="B87" s="127"/>
      <c r="C87" s="127"/>
      <c r="H87" s="8"/>
      <c r="I87" s="8"/>
    </row>
    <row r="88">
      <c r="B88" s="127"/>
      <c r="C88" s="127"/>
      <c r="H88" s="8"/>
      <c r="I88" s="8"/>
    </row>
    <row r="89">
      <c r="B89" s="127"/>
      <c r="C89" s="127"/>
      <c r="H89" s="8"/>
      <c r="I89" s="8"/>
    </row>
    <row r="90">
      <c r="B90" s="127"/>
      <c r="C90" s="127"/>
      <c r="H90" s="8"/>
      <c r="I90" s="8"/>
    </row>
    <row r="91">
      <c r="B91" s="127"/>
      <c r="C91" s="127"/>
      <c r="H91" s="8"/>
      <c r="I91" s="8"/>
    </row>
    <row r="92">
      <c r="B92" s="127"/>
      <c r="C92" s="127"/>
      <c r="H92" s="8"/>
      <c r="I92" s="8"/>
    </row>
    <row r="93">
      <c r="B93" s="127"/>
      <c r="C93" s="127"/>
      <c r="H93" s="8"/>
      <c r="I93" s="8"/>
    </row>
    <row r="94">
      <c r="B94" s="127"/>
      <c r="C94" s="127"/>
      <c r="H94" s="8"/>
      <c r="I94" s="8"/>
    </row>
    <row r="95">
      <c r="B95" s="127"/>
      <c r="C95" s="127"/>
      <c r="H95" s="8"/>
      <c r="I95" s="8"/>
    </row>
    <row r="96">
      <c r="B96" s="127"/>
      <c r="C96" s="127"/>
      <c r="H96" s="8"/>
      <c r="I96" s="8"/>
    </row>
    <row r="97">
      <c r="B97" s="127"/>
      <c r="C97" s="127"/>
      <c r="H97" s="8"/>
      <c r="I97" s="8"/>
    </row>
    <row r="98">
      <c r="B98" s="127"/>
      <c r="C98" s="127"/>
      <c r="H98" s="8"/>
      <c r="I98" s="8"/>
    </row>
    <row r="99">
      <c r="B99" s="127"/>
      <c r="C99" s="127"/>
      <c r="H99" s="8"/>
      <c r="I99" s="8"/>
    </row>
    <row r="100">
      <c r="B100" s="127"/>
      <c r="C100" s="127"/>
      <c r="H100" s="8"/>
      <c r="I100" s="8"/>
    </row>
    <row r="101">
      <c r="B101" s="127"/>
      <c r="C101" s="127"/>
      <c r="H101" s="8"/>
      <c r="I101" s="8"/>
    </row>
    <row r="102">
      <c r="B102" s="127"/>
      <c r="C102" s="127"/>
      <c r="H102" s="8"/>
      <c r="I102" s="8"/>
    </row>
    <row r="103">
      <c r="B103" s="127"/>
      <c r="C103" s="127"/>
      <c r="H103" s="8"/>
      <c r="I103" s="8"/>
    </row>
    <row r="104">
      <c r="B104" s="127"/>
      <c r="C104" s="127"/>
      <c r="H104" s="8"/>
      <c r="I104" s="8"/>
    </row>
    <row r="105">
      <c r="B105" s="127"/>
      <c r="C105" s="127"/>
      <c r="H105" s="8"/>
      <c r="I105" s="8"/>
    </row>
    <row r="106">
      <c r="B106" s="127"/>
      <c r="C106" s="127"/>
      <c r="H106" s="8"/>
      <c r="I106" s="8"/>
    </row>
    <row r="107">
      <c r="B107" s="127"/>
      <c r="C107" s="127"/>
      <c r="H107" s="8"/>
      <c r="I107" s="8"/>
    </row>
    <row r="108">
      <c r="B108" s="127"/>
      <c r="C108" s="127"/>
      <c r="H108" s="8"/>
      <c r="I108" s="8"/>
    </row>
    <row r="109">
      <c r="B109" s="127"/>
      <c r="C109" s="127"/>
      <c r="H109" s="8"/>
      <c r="I109" s="8"/>
    </row>
    <row r="110">
      <c r="B110" s="127"/>
      <c r="C110" s="127"/>
      <c r="H110" s="8"/>
      <c r="I110" s="8"/>
    </row>
    <row r="111">
      <c r="B111" s="127"/>
      <c r="C111" s="127"/>
      <c r="H111" s="8"/>
      <c r="I111" s="8"/>
    </row>
    <row r="112">
      <c r="B112" s="127"/>
      <c r="C112" s="127"/>
      <c r="H112" s="8"/>
      <c r="I112" s="8"/>
    </row>
    <row r="113">
      <c r="B113" s="127"/>
      <c r="C113" s="127"/>
      <c r="H113" s="8"/>
      <c r="I113" s="8"/>
    </row>
    <row r="114">
      <c r="B114" s="127"/>
      <c r="C114" s="127"/>
      <c r="H114" s="8"/>
      <c r="I114" s="8"/>
    </row>
    <row r="115">
      <c r="B115" s="127"/>
      <c r="C115" s="127"/>
      <c r="H115" s="8"/>
      <c r="I115" s="8"/>
    </row>
    <row r="116">
      <c r="B116" s="127"/>
      <c r="C116" s="127"/>
      <c r="H116" s="8"/>
      <c r="I116" s="8"/>
    </row>
    <row r="117">
      <c r="B117" s="127"/>
      <c r="C117" s="127"/>
      <c r="H117" s="8"/>
      <c r="I117" s="8"/>
    </row>
    <row r="118">
      <c r="B118" s="127"/>
      <c r="C118" s="127"/>
      <c r="H118" s="8"/>
      <c r="I118" s="8"/>
    </row>
    <row r="119">
      <c r="B119" s="127"/>
      <c r="C119" s="127"/>
      <c r="H119" s="8"/>
      <c r="I119" s="8"/>
    </row>
    <row r="120">
      <c r="B120" s="127"/>
      <c r="C120" s="127"/>
      <c r="H120" s="8"/>
      <c r="I120" s="8"/>
    </row>
    <row r="121">
      <c r="B121" s="127"/>
      <c r="C121" s="127"/>
      <c r="H121" s="8"/>
      <c r="I121" s="8"/>
    </row>
    <row r="122">
      <c r="B122" s="127"/>
      <c r="C122" s="127"/>
      <c r="H122" s="8"/>
      <c r="I122" s="8"/>
    </row>
    <row r="123">
      <c r="B123" s="127"/>
      <c r="C123" s="127"/>
      <c r="H123" s="8"/>
      <c r="I123" s="8"/>
    </row>
    <row r="124">
      <c r="B124" s="127"/>
      <c r="C124" s="127"/>
      <c r="H124" s="8"/>
      <c r="I124" s="8"/>
    </row>
    <row r="125">
      <c r="B125" s="127"/>
      <c r="C125" s="127"/>
      <c r="H125" s="8"/>
      <c r="I125" s="8"/>
    </row>
    <row r="126">
      <c r="B126" s="127"/>
      <c r="C126" s="127"/>
      <c r="H126" s="8"/>
      <c r="I126" s="8"/>
    </row>
    <row r="127">
      <c r="B127" s="127"/>
      <c r="C127" s="127"/>
      <c r="H127" s="8"/>
      <c r="I127" s="8"/>
    </row>
    <row r="128">
      <c r="B128" s="127"/>
      <c r="C128" s="127"/>
      <c r="H128" s="8"/>
      <c r="I128" s="8"/>
    </row>
    <row r="129">
      <c r="B129" s="127"/>
      <c r="C129" s="127"/>
      <c r="H129" s="8"/>
      <c r="I129" s="8"/>
    </row>
    <row r="130">
      <c r="B130" s="127"/>
      <c r="C130" s="127"/>
      <c r="H130" s="8"/>
      <c r="I130" s="8"/>
    </row>
    <row r="131">
      <c r="B131" s="127"/>
      <c r="C131" s="127"/>
      <c r="H131" s="8"/>
      <c r="I131" s="8"/>
    </row>
    <row r="132">
      <c r="B132" s="127"/>
      <c r="C132" s="127"/>
      <c r="H132" s="8"/>
      <c r="I132" s="8"/>
    </row>
    <row r="133">
      <c r="B133" s="127"/>
      <c r="C133" s="127"/>
      <c r="H133" s="8"/>
      <c r="I133" s="8"/>
    </row>
    <row r="134">
      <c r="B134" s="127"/>
      <c r="C134" s="127"/>
      <c r="H134" s="8"/>
      <c r="I134" s="8"/>
    </row>
    <row r="135">
      <c r="B135" s="127"/>
      <c r="C135" s="127"/>
      <c r="H135" s="8"/>
      <c r="I135" s="8"/>
    </row>
    <row r="136">
      <c r="B136" s="127"/>
      <c r="C136" s="127"/>
      <c r="H136" s="8"/>
      <c r="I136" s="8"/>
    </row>
    <row r="137">
      <c r="B137" s="127"/>
      <c r="C137" s="127"/>
      <c r="H137" s="8"/>
      <c r="I137" s="8"/>
    </row>
    <row r="138">
      <c r="B138" s="127"/>
      <c r="C138" s="127"/>
      <c r="H138" s="8"/>
      <c r="I138" s="8"/>
    </row>
    <row r="139">
      <c r="B139" s="127"/>
      <c r="C139" s="127"/>
      <c r="H139" s="8"/>
      <c r="I139" s="8"/>
    </row>
    <row r="140">
      <c r="B140" s="127"/>
      <c r="C140" s="127"/>
      <c r="H140" s="8"/>
      <c r="I140" s="8"/>
    </row>
    <row r="141">
      <c r="B141" s="127"/>
      <c r="C141" s="127"/>
      <c r="H141" s="8"/>
      <c r="I141" s="8"/>
    </row>
    <row r="142">
      <c r="B142" s="127"/>
      <c r="C142" s="127"/>
      <c r="H142" s="8"/>
      <c r="I142" s="8"/>
    </row>
    <row r="143">
      <c r="B143" s="127"/>
      <c r="C143" s="127"/>
      <c r="H143" s="8"/>
      <c r="I143" s="8"/>
    </row>
    <row r="144">
      <c r="B144" s="127"/>
      <c r="C144" s="127"/>
      <c r="H144" s="8"/>
      <c r="I144" s="8"/>
    </row>
    <row r="145">
      <c r="B145" s="127"/>
      <c r="C145" s="127"/>
      <c r="H145" s="8"/>
      <c r="I145" s="8"/>
    </row>
    <row r="146">
      <c r="B146" s="127"/>
      <c r="C146" s="127"/>
      <c r="H146" s="8"/>
      <c r="I146" s="8"/>
    </row>
    <row r="147">
      <c r="B147" s="127"/>
      <c r="C147" s="127"/>
      <c r="H147" s="8"/>
      <c r="I147" s="8"/>
    </row>
    <row r="148">
      <c r="B148" s="127"/>
      <c r="C148" s="127"/>
      <c r="H148" s="8"/>
      <c r="I148" s="8"/>
    </row>
    <row r="149">
      <c r="B149" s="127"/>
      <c r="C149" s="127"/>
      <c r="H149" s="8"/>
      <c r="I149" s="8"/>
    </row>
    <row r="150">
      <c r="B150" s="127"/>
      <c r="C150" s="127"/>
      <c r="H150" s="8"/>
      <c r="I150" s="8"/>
    </row>
    <row r="151">
      <c r="B151" s="127"/>
      <c r="C151" s="127"/>
      <c r="H151" s="8"/>
      <c r="I151" s="8"/>
    </row>
    <row r="152">
      <c r="B152" s="127"/>
      <c r="C152" s="127"/>
      <c r="H152" s="8"/>
      <c r="I152" s="8"/>
    </row>
    <row r="153">
      <c r="B153" s="127"/>
      <c r="C153" s="127"/>
      <c r="H153" s="8"/>
      <c r="I153" s="8"/>
    </row>
    <row r="154">
      <c r="B154" s="127"/>
      <c r="C154" s="127"/>
      <c r="H154" s="8"/>
      <c r="I154" s="8"/>
    </row>
    <row r="155">
      <c r="B155" s="127"/>
      <c r="C155" s="127"/>
      <c r="H155" s="8"/>
      <c r="I155" s="8"/>
    </row>
    <row r="156">
      <c r="B156" s="127"/>
      <c r="C156" s="127"/>
      <c r="H156" s="8"/>
      <c r="I156" s="8"/>
    </row>
    <row r="157">
      <c r="B157" s="127"/>
      <c r="C157" s="127"/>
      <c r="H157" s="8"/>
      <c r="I157" s="8"/>
    </row>
    <row r="158">
      <c r="B158" s="127"/>
      <c r="C158" s="127"/>
      <c r="H158" s="8"/>
      <c r="I158" s="8"/>
    </row>
    <row r="159">
      <c r="B159" s="127"/>
      <c r="C159" s="127"/>
      <c r="H159" s="8"/>
      <c r="I159" s="8"/>
    </row>
    <row r="160">
      <c r="B160" s="127"/>
      <c r="C160" s="127"/>
      <c r="H160" s="8"/>
      <c r="I160" s="8"/>
    </row>
    <row r="161">
      <c r="B161" s="127"/>
      <c r="C161" s="127"/>
      <c r="H161" s="8"/>
      <c r="I161" s="8"/>
    </row>
    <row r="162">
      <c r="B162" s="127"/>
      <c r="C162" s="127"/>
      <c r="H162" s="8"/>
      <c r="I162" s="8"/>
    </row>
    <row r="163">
      <c r="B163" s="127"/>
      <c r="C163" s="127"/>
      <c r="H163" s="8"/>
      <c r="I163" s="8"/>
    </row>
    <row r="164">
      <c r="B164" s="127"/>
      <c r="C164" s="127"/>
      <c r="H164" s="8"/>
      <c r="I164" s="8"/>
    </row>
    <row r="165">
      <c r="B165" s="127"/>
      <c r="C165" s="127"/>
      <c r="H165" s="8"/>
      <c r="I165" s="8"/>
    </row>
    <row r="166">
      <c r="B166" s="127"/>
      <c r="C166" s="127"/>
      <c r="H166" s="8"/>
      <c r="I166" s="8"/>
    </row>
    <row r="167">
      <c r="B167" s="127"/>
      <c r="C167" s="127"/>
      <c r="H167" s="8"/>
      <c r="I167" s="8"/>
    </row>
    <row r="168">
      <c r="B168" s="127"/>
      <c r="C168" s="127"/>
      <c r="H168" s="8"/>
      <c r="I168" s="8"/>
    </row>
    <row r="169">
      <c r="B169" s="127"/>
      <c r="C169" s="127"/>
      <c r="H169" s="8"/>
      <c r="I169" s="8"/>
    </row>
    <row r="170">
      <c r="B170" s="127"/>
      <c r="C170" s="127"/>
      <c r="H170" s="8"/>
      <c r="I170" s="8"/>
    </row>
    <row r="171">
      <c r="B171" s="127"/>
      <c r="C171" s="127"/>
      <c r="H171" s="8"/>
      <c r="I171" s="8"/>
    </row>
    <row r="172">
      <c r="B172" s="127"/>
      <c r="C172" s="127"/>
      <c r="H172" s="8"/>
      <c r="I172" s="8"/>
    </row>
    <row r="173">
      <c r="B173" s="127"/>
      <c r="C173" s="127"/>
      <c r="H173" s="8"/>
      <c r="I173" s="8"/>
    </row>
    <row r="174">
      <c r="B174" s="127"/>
      <c r="C174" s="127"/>
      <c r="H174" s="8"/>
      <c r="I174" s="8"/>
    </row>
    <row r="175">
      <c r="B175" s="127"/>
      <c r="C175" s="127"/>
      <c r="H175" s="8"/>
      <c r="I175" s="8"/>
    </row>
    <row r="176">
      <c r="B176" s="127"/>
      <c r="C176" s="127"/>
      <c r="H176" s="8"/>
      <c r="I176" s="8"/>
    </row>
    <row r="177">
      <c r="B177" s="127"/>
      <c r="C177" s="127"/>
      <c r="H177" s="8"/>
      <c r="I177" s="8"/>
    </row>
    <row r="178">
      <c r="B178" s="127"/>
      <c r="C178" s="127"/>
      <c r="H178" s="8"/>
      <c r="I178" s="8"/>
    </row>
    <row r="179">
      <c r="B179" s="127"/>
      <c r="C179" s="127"/>
      <c r="H179" s="8"/>
      <c r="I179" s="8"/>
    </row>
    <row r="180">
      <c r="B180" s="127"/>
      <c r="C180" s="127"/>
      <c r="H180" s="8"/>
      <c r="I180" s="8"/>
    </row>
    <row r="181">
      <c r="B181" s="127"/>
      <c r="C181" s="127"/>
      <c r="H181" s="8"/>
      <c r="I181" s="8"/>
    </row>
    <row r="182">
      <c r="B182" s="127"/>
      <c r="C182" s="127"/>
      <c r="H182" s="8"/>
      <c r="I182" s="8"/>
    </row>
    <row r="183">
      <c r="B183" s="127"/>
      <c r="C183" s="127"/>
      <c r="H183" s="8"/>
      <c r="I183" s="8"/>
    </row>
    <row r="184">
      <c r="B184" s="127"/>
      <c r="C184" s="127"/>
      <c r="H184" s="8"/>
      <c r="I184" s="8"/>
    </row>
    <row r="185">
      <c r="B185" s="127"/>
      <c r="C185" s="127"/>
      <c r="H185" s="8"/>
      <c r="I185" s="8"/>
    </row>
    <row r="186">
      <c r="B186" s="127"/>
      <c r="C186" s="127"/>
      <c r="H186" s="8"/>
      <c r="I186" s="8"/>
    </row>
    <row r="187">
      <c r="B187" s="127"/>
      <c r="C187" s="127"/>
      <c r="H187" s="8"/>
      <c r="I187" s="8"/>
    </row>
    <row r="188">
      <c r="B188" s="127"/>
      <c r="C188" s="127"/>
      <c r="H188" s="8"/>
      <c r="I188" s="8"/>
    </row>
    <row r="189">
      <c r="B189" s="127"/>
      <c r="C189" s="127"/>
      <c r="H189" s="8"/>
      <c r="I189" s="8"/>
    </row>
    <row r="190">
      <c r="B190" s="127"/>
      <c r="C190" s="127"/>
      <c r="H190" s="8"/>
      <c r="I190" s="8"/>
    </row>
    <row r="191">
      <c r="B191" s="127"/>
      <c r="C191" s="127"/>
      <c r="H191" s="8"/>
      <c r="I191" s="8"/>
    </row>
    <row r="192">
      <c r="B192" s="127"/>
      <c r="C192" s="127"/>
      <c r="H192" s="8"/>
      <c r="I192" s="8"/>
    </row>
    <row r="193">
      <c r="B193" s="127"/>
      <c r="C193" s="127"/>
      <c r="H193" s="8"/>
      <c r="I193" s="8"/>
    </row>
    <row r="194">
      <c r="B194" s="127"/>
      <c r="C194" s="127"/>
      <c r="H194" s="8"/>
      <c r="I194" s="8"/>
    </row>
    <row r="195">
      <c r="B195" s="127"/>
      <c r="C195" s="127"/>
      <c r="H195" s="8"/>
      <c r="I195" s="8"/>
    </row>
    <row r="196">
      <c r="B196" s="127"/>
      <c r="C196" s="127"/>
      <c r="H196" s="8"/>
      <c r="I196" s="8"/>
    </row>
    <row r="197">
      <c r="B197" s="127"/>
      <c r="C197" s="127"/>
      <c r="H197" s="8"/>
      <c r="I197" s="8"/>
    </row>
    <row r="198">
      <c r="B198" s="127"/>
      <c r="C198" s="127"/>
      <c r="H198" s="8"/>
      <c r="I198" s="8"/>
    </row>
    <row r="199">
      <c r="B199" s="127"/>
      <c r="C199" s="127"/>
      <c r="H199" s="8"/>
      <c r="I199" s="8"/>
    </row>
    <row r="200">
      <c r="B200" s="127"/>
      <c r="C200" s="127"/>
      <c r="H200" s="8"/>
      <c r="I200" s="8"/>
    </row>
    <row r="201">
      <c r="B201" s="127"/>
      <c r="C201" s="127"/>
      <c r="H201" s="8"/>
      <c r="I201" s="8"/>
    </row>
    <row r="202">
      <c r="B202" s="127"/>
      <c r="C202" s="127"/>
      <c r="H202" s="8"/>
      <c r="I202" s="8"/>
    </row>
    <row r="203">
      <c r="B203" s="127"/>
      <c r="C203" s="127"/>
      <c r="H203" s="8"/>
      <c r="I203" s="8"/>
    </row>
    <row r="204">
      <c r="B204" s="127"/>
      <c r="C204" s="127"/>
      <c r="H204" s="8"/>
      <c r="I204" s="8"/>
    </row>
    <row r="205">
      <c r="B205" s="127"/>
      <c r="C205" s="127"/>
      <c r="H205" s="8"/>
      <c r="I205" s="8"/>
    </row>
    <row r="206">
      <c r="B206" s="127"/>
      <c r="C206" s="127"/>
      <c r="H206" s="8"/>
      <c r="I206" s="8"/>
    </row>
    <row r="207">
      <c r="B207" s="127"/>
      <c r="C207" s="127"/>
      <c r="H207" s="8"/>
      <c r="I207" s="8"/>
    </row>
    <row r="208">
      <c r="B208" s="127"/>
      <c r="C208" s="127"/>
      <c r="H208" s="8"/>
      <c r="I208" s="8"/>
    </row>
    <row r="209">
      <c r="B209" s="127"/>
      <c r="C209" s="127"/>
      <c r="H209" s="8"/>
      <c r="I209" s="8"/>
    </row>
    <row r="210">
      <c r="B210" s="127"/>
      <c r="C210" s="127"/>
      <c r="H210" s="8"/>
      <c r="I210" s="8"/>
    </row>
    <row r="211">
      <c r="B211" s="127"/>
      <c r="C211" s="127"/>
      <c r="H211" s="8"/>
      <c r="I211" s="8"/>
    </row>
    <row r="212">
      <c r="B212" s="127"/>
      <c r="C212" s="127"/>
      <c r="H212" s="8"/>
      <c r="I212" s="8"/>
    </row>
    <row r="213">
      <c r="B213" s="127"/>
      <c r="C213" s="127"/>
      <c r="H213" s="8"/>
      <c r="I213" s="8"/>
    </row>
    <row r="214">
      <c r="B214" s="127"/>
      <c r="C214" s="127"/>
      <c r="H214" s="8"/>
      <c r="I214" s="8"/>
    </row>
    <row r="215">
      <c r="B215" s="127"/>
      <c r="C215" s="127"/>
      <c r="H215" s="8"/>
      <c r="I215" s="8"/>
    </row>
    <row r="216">
      <c r="B216" s="127"/>
      <c r="C216" s="127"/>
      <c r="H216" s="8"/>
      <c r="I216" s="8"/>
    </row>
    <row r="217">
      <c r="B217" s="127"/>
      <c r="C217" s="127"/>
      <c r="H217" s="8"/>
      <c r="I217" s="8"/>
    </row>
    <row r="218">
      <c r="B218" s="127"/>
      <c r="C218" s="127"/>
      <c r="H218" s="8"/>
      <c r="I218" s="8"/>
    </row>
    <row r="219">
      <c r="B219" s="127"/>
      <c r="C219" s="127"/>
      <c r="H219" s="8"/>
      <c r="I219" s="8"/>
    </row>
    <row r="220">
      <c r="B220" s="127"/>
      <c r="C220" s="127"/>
      <c r="H220" s="8"/>
      <c r="I220" s="8"/>
    </row>
    <row r="221">
      <c r="B221" s="127"/>
      <c r="C221" s="127"/>
      <c r="H221" s="8"/>
      <c r="I221" s="8"/>
    </row>
    <row r="222">
      <c r="B222" s="127"/>
      <c r="C222" s="127"/>
      <c r="H222" s="8"/>
      <c r="I222" s="8"/>
    </row>
    <row r="223">
      <c r="B223" s="127"/>
      <c r="C223" s="127"/>
      <c r="H223" s="8"/>
      <c r="I223" s="8"/>
    </row>
    <row r="224">
      <c r="B224" s="127"/>
      <c r="C224" s="127"/>
      <c r="H224" s="8"/>
      <c r="I224" s="8"/>
    </row>
    <row r="225">
      <c r="B225" s="127"/>
      <c r="C225" s="127"/>
      <c r="H225" s="8"/>
      <c r="I225" s="8"/>
    </row>
    <row r="226">
      <c r="B226" s="127"/>
      <c r="C226" s="127"/>
      <c r="H226" s="8"/>
      <c r="I226" s="8"/>
    </row>
    <row r="227">
      <c r="B227" s="127"/>
      <c r="C227" s="127"/>
      <c r="H227" s="8"/>
      <c r="I227" s="8"/>
    </row>
    <row r="228">
      <c r="B228" s="127"/>
      <c r="C228" s="127"/>
      <c r="H228" s="8"/>
      <c r="I228" s="8"/>
    </row>
    <row r="229">
      <c r="B229" s="127"/>
      <c r="C229" s="127"/>
      <c r="H229" s="8"/>
      <c r="I229" s="8"/>
    </row>
    <row r="230">
      <c r="B230" s="127"/>
      <c r="C230" s="127"/>
      <c r="H230" s="8"/>
      <c r="I230" s="8"/>
    </row>
    <row r="231">
      <c r="B231" s="127"/>
      <c r="C231" s="127"/>
      <c r="H231" s="8"/>
      <c r="I231" s="8"/>
    </row>
    <row r="232">
      <c r="B232" s="127"/>
      <c r="C232" s="127"/>
      <c r="H232" s="8"/>
      <c r="I232" s="8"/>
    </row>
    <row r="233">
      <c r="B233" s="127"/>
      <c r="C233" s="127"/>
      <c r="H233" s="8"/>
      <c r="I233" s="8"/>
    </row>
    <row r="234">
      <c r="B234" s="127"/>
      <c r="C234" s="127"/>
      <c r="H234" s="8"/>
      <c r="I234" s="8"/>
    </row>
    <row r="235">
      <c r="B235" s="127"/>
      <c r="C235" s="127"/>
      <c r="H235" s="8"/>
      <c r="I235" s="8"/>
    </row>
    <row r="236">
      <c r="B236" s="127"/>
      <c r="C236" s="127"/>
      <c r="H236" s="8"/>
      <c r="I236" s="8"/>
    </row>
    <row r="237">
      <c r="B237" s="127"/>
      <c r="C237" s="127"/>
      <c r="H237" s="8"/>
      <c r="I237" s="8"/>
    </row>
    <row r="238">
      <c r="B238" s="127"/>
      <c r="C238" s="127"/>
      <c r="H238" s="8"/>
      <c r="I238" s="8"/>
    </row>
    <row r="239">
      <c r="B239" s="127"/>
      <c r="C239" s="127"/>
      <c r="H239" s="8"/>
      <c r="I239" s="8"/>
    </row>
    <row r="240">
      <c r="B240" s="127"/>
      <c r="C240" s="127"/>
      <c r="H240" s="8"/>
      <c r="I240" s="8"/>
    </row>
    <row r="241">
      <c r="B241" s="127"/>
      <c r="C241" s="127"/>
      <c r="H241" s="8"/>
      <c r="I241" s="8"/>
    </row>
    <row r="242">
      <c r="B242" s="127"/>
      <c r="C242" s="127"/>
      <c r="H242" s="8"/>
      <c r="I242" s="8"/>
    </row>
    <row r="243">
      <c r="B243" s="127"/>
      <c r="C243" s="127"/>
      <c r="H243" s="8"/>
      <c r="I243" s="8"/>
    </row>
    <row r="244">
      <c r="B244" s="127"/>
      <c r="C244" s="127"/>
      <c r="H244" s="8"/>
      <c r="I244" s="8"/>
    </row>
    <row r="245">
      <c r="B245" s="127"/>
      <c r="C245" s="127"/>
      <c r="H245" s="8"/>
      <c r="I245" s="8"/>
    </row>
    <row r="246">
      <c r="B246" s="127"/>
      <c r="C246" s="127"/>
      <c r="H246" s="8"/>
      <c r="I246" s="8"/>
    </row>
    <row r="247">
      <c r="B247" s="127"/>
      <c r="C247" s="127"/>
      <c r="H247" s="8"/>
      <c r="I247" s="8"/>
    </row>
    <row r="248">
      <c r="B248" s="127"/>
      <c r="C248" s="127"/>
      <c r="H248" s="8"/>
      <c r="I248" s="8"/>
    </row>
    <row r="249">
      <c r="B249" s="127"/>
      <c r="C249" s="127"/>
      <c r="H249" s="8"/>
      <c r="I249" s="8"/>
    </row>
    <row r="250">
      <c r="B250" s="127"/>
      <c r="C250" s="127"/>
      <c r="H250" s="8"/>
      <c r="I250" s="8"/>
    </row>
    <row r="251">
      <c r="B251" s="127"/>
      <c r="C251" s="127"/>
      <c r="H251" s="8"/>
      <c r="I251" s="8"/>
    </row>
    <row r="252">
      <c r="B252" s="127"/>
      <c r="C252" s="127"/>
      <c r="H252" s="8"/>
      <c r="I252" s="8"/>
    </row>
    <row r="253">
      <c r="B253" s="127"/>
      <c r="C253" s="127"/>
      <c r="H253" s="8"/>
      <c r="I253" s="8"/>
    </row>
    <row r="254">
      <c r="B254" s="127"/>
      <c r="C254" s="127"/>
      <c r="H254" s="8"/>
      <c r="I254" s="8"/>
    </row>
    <row r="255">
      <c r="B255" s="127"/>
      <c r="C255" s="127"/>
      <c r="H255" s="8"/>
      <c r="I255" s="8"/>
    </row>
    <row r="256">
      <c r="B256" s="127"/>
      <c r="C256" s="127"/>
      <c r="H256" s="8"/>
      <c r="I256" s="8"/>
    </row>
    <row r="257">
      <c r="B257" s="127"/>
      <c r="C257" s="127"/>
      <c r="H257" s="8"/>
      <c r="I257" s="8"/>
    </row>
    <row r="258">
      <c r="B258" s="127"/>
      <c r="C258" s="127"/>
      <c r="H258" s="8"/>
      <c r="I258" s="8"/>
    </row>
    <row r="259">
      <c r="B259" s="127"/>
      <c r="C259" s="127"/>
      <c r="H259" s="8"/>
      <c r="I259" s="8"/>
    </row>
    <row r="260">
      <c r="B260" s="127"/>
      <c r="C260" s="127"/>
      <c r="H260" s="8"/>
      <c r="I260" s="8"/>
    </row>
    <row r="261">
      <c r="B261" s="127"/>
      <c r="C261" s="127"/>
      <c r="H261" s="8"/>
      <c r="I261" s="8"/>
    </row>
    <row r="262">
      <c r="B262" s="127"/>
      <c r="C262" s="127"/>
      <c r="H262" s="8"/>
      <c r="I262" s="8"/>
    </row>
    <row r="263">
      <c r="B263" s="127"/>
      <c r="C263" s="127"/>
      <c r="H263" s="8"/>
      <c r="I263" s="8"/>
    </row>
    <row r="264">
      <c r="B264" s="127"/>
      <c r="C264" s="127"/>
      <c r="H264" s="8"/>
      <c r="I264" s="8"/>
    </row>
    <row r="265">
      <c r="B265" s="127"/>
      <c r="C265" s="127"/>
      <c r="H265" s="8"/>
      <c r="I265" s="8"/>
    </row>
    <row r="266">
      <c r="B266" s="127"/>
      <c r="C266" s="127"/>
      <c r="H266" s="8"/>
      <c r="I266" s="8"/>
    </row>
    <row r="267">
      <c r="B267" s="127"/>
      <c r="C267" s="127"/>
      <c r="H267" s="8"/>
      <c r="I267" s="8"/>
    </row>
    <row r="268">
      <c r="B268" s="127"/>
      <c r="C268" s="127"/>
      <c r="H268" s="8"/>
      <c r="I268" s="8"/>
    </row>
    <row r="269">
      <c r="B269" s="127"/>
      <c r="C269" s="127"/>
      <c r="H269" s="8"/>
      <c r="I269" s="8"/>
    </row>
    <row r="270">
      <c r="B270" s="127"/>
      <c r="C270" s="127"/>
      <c r="H270" s="8"/>
      <c r="I270" s="8"/>
    </row>
    <row r="271">
      <c r="B271" s="127"/>
      <c r="C271" s="127"/>
      <c r="H271" s="8"/>
      <c r="I271" s="8"/>
    </row>
    <row r="272">
      <c r="B272" s="127"/>
      <c r="C272" s="127"/>
      <c r="H272" s="8"/>
      <c r="I272" s="8"/>
    </row>
    <row r="273">
      <c r="B273" s="127"/>
      <c r="C273" s="127"/>
      <c r="H273" s="8"/>
      <c r="I273" s="8"/>
    </row>
    <row r="274">
      <c r="B274" s="127"/>
      <c r="C274" s="127"/>
      <c r="H274" s="8"/>
      <c r="I274" s="8"/>
    </row>
    <row r="275">
      <c r="B275" s="127"/>
      <c r="C275" s="127"/>
      <c r="H275" s="8"/>
      <c r="I275" s="8"/>
    </row>
    <row r="276">
      <c r="B276" s="127"/>
      <c r="C276" s="127"/>
      <c r="H276" s="8"/>
      <c r="I276" s="8"/>
    </row>
    <row r="277">
      <c r="B277" s="127"/>
      <c r="C277" s="127"/>
      <c r="H277" s="8"/>
      <c r="I277" s="8"/>
    </row>
    <row r="278">
      <c r="B278" s="127"/>
      <c r="C278" s="127"/>
      <c r="H278" s="8"/>
      <c r="I278" s="8"/>
    </row>
    <row r="279">
      <c r="B279" s="127"/>
      <c r="C279" s="127"/>
      <c r="H279" s="8"/>
      <c r="I279" s="8"/>
    </row>
    <row r="280">
      <c r="B280" s="127"/>
      <c r="C280" s="127"/>
      <c r="H280" s="8"/>
      <c r="I280" s="8"/>
    </row>
    <row r="281">
      <c r="B281" s="127"/>
      <c r="C281" s="127"/>
      <c r="H281" s="8"/>
      <c r="I281" s="8"/>
    </row>
    <row r="282">
      <c r="B282" s="127"/>
      <c r="C282" s="127"/>
      <c r="H282" s="8"/>
      <c r="I282" s="8"/>
    </row>
    <row r="283">
      <c r="B283" s="127"/>
      <c r="C283" s="127"/>
      <c r="H283" s="8"/>
      <c r="I283" s="8"/>
    </row>
    <row r="284">
      <c r="B284" s="127"/>
      <c r="C284" s="127"/>
      <c r="H284" s="8"/>
      <c r="I284" s="8"/>
    </row>
    <row r="285">
      <c r="B285" s="127"/>
      <c r="C285" s="127"/>
      <c r="H285" s="8"/>
      <c r="I285" s="8"/>
    </row>
    <row r="286">
      <c r="B286" s="127"/>
      <c r="C286" s="127"/>
      <c r="H286" s="8"/>
      <c r="I286" s="8"/>
    </row>
    <row r="287">
      <c r="B287" s="127"/>
      <c r="C287" s="127"/>
      <c r="H287" s="8"/>
      <c r="I287" s="8"/>
    </row>
    <row r="288">
      <c r="B288" s="127"/>
      <c r="C288" s="127"/>
      <c r="H288" s="8"/>
      <c r="I288" s="8"/>
    </row>
    <row r="289">
      <c r="B289" s="127"/>
      <c r="C289" s="127"/>
      <c r="H289" s="8"/>
      <c r="I289" s="8"/>
    </row>
    <row r="290">
      <c r="B290" s="127"/>
      <c r="C290" s="127"/>
      <c r="H290" s="8"/>
      <c r="I290" s="8"/>
    </row>
    <row r="291">
      <c r="B291" s="127"/>
      <c r="C291" s="127"/>
      <c r="H291" s="8"/>
      <c r="I291" s="8"/>
    </row>
    <row r="292">
      <c r="B292" s="127"/>
      <c r="C292" s="127"/>
      <c r="H292" s="8"/>
      <c r="I292" s="8"/>
    </row>
    <row r="293">
      <c r="B293" s="127"/>
      <c r="C293" s="127"/>
      <c r="H293" s="8"/>
      <c r="I293" s="8"/>
    </row>
    <row r="294">
      <c r="B294" s="127"/>
      <c r="C294" s="127"/>
      <c r="H294" s="8"/>
      <c r="I294" s="8"/>
    </row>
    <row r="295">
      <c r="B295" s="127"/>
      <c r="C295" s="127"/>
      <c r="H295" s="8"/>
      <c r="I295" s="8"/>
    </row>
    <row r="296">
      <c r="B296" s="127"/>
      <c r="C296" s="127"/>
      <c r="H296" s="8"/>
      <c r="I296" s="8"/>
    </row>
    <row r="297">
      <c r="B297" s="127"/>
      <c r="C297" s="127"/>
      <c r="H297" s="8"/>
      <c r="I297" s="8"/>
    </row>
    <row r="298">
      <c r="B298" s="127"/>
      <c r="C298" s="127"/>
      <c r="H298" s="8"/>
      <c r="I298" s="8"/>
    </row>
    <row r="299">
      <c r="B299" s="127"/>
      <c r="C299" s="127"/>
      <c r="H299" s="8"/>
      <c r="I299" s="8"/>
    </row>
    <row r="300">
      <c r="B300" s="127"/>
      <c r="C300" s="127"/>
      <c r="H300" s="8"/>
      <c r="I300" s="8"/>
    </row>
    <row r="301">
      <c r="B301" s="127"/>
      <c r="C301" s="127"/>
      <c r="H301" s="8"/>
      <c r="I301" s="8"/>
    </row>
    <row r="302">
      <c r="B302" s="127"/>
      <c r="C302" s="127"/>
      <c r="H302" s="8"/>
      <c r="I302" s="8"/>
    </row>
    <row r="303">
      <c r="B303" s="127"/>
      <c r="C303" s="127"/>
      <c r="H303" s="8"/>
      <c r="I303" s="8"/>
    </row>
    <row r="304">
      <c r="B304" s="127"/>
      <c r="C304" s="127"/>
      <c r="H304" s="8"/>
      <c r="I304" s="8"/>
    </row>
    <row r="305">
      <c r="B305" s="127"/>
      <c r="C305" s="127"/>
      <c r="H305" s="8"/>
      <c r="I305" s="8"/>
    </row>
    <row r="306">
      <c r="B306" s="127"/>
      <c r="C306" s="127"/>
      <c r="H306" s="8"/>
      <c r="I306" s="8"/>
    </row>
    <row r="307">
      <c r="B307" s="127"/>
      <c r="C307" s="127"/>
      <c r="H307" s="8"/>
      <c r="I307" s="8"/>
    </row>
    <row r="308">
      <c r="B308" s="127"/>
      <c r="C308" s="127"/>
      <c r="H308" s="8"/>
      <c r="I308" s="8"/>
    </row>
    <row r="309">
      <c r="B309" s="127"/>
      <c r="C309" s="127"/>
      <c r="H309" s="8"/>
      <c r="I309" s="8"/>
    </row>
    <row r="310">
      <c r="B310" s="127"/>
      <c r="C310" s="127"/>
      <c r="H310" s="8"/>
      <c r="I310" s="8"/>
    </row>
    <row r="311">
      <c r="B311" s="127"/>
      <c r="C311" s="127"/>
      <c r="H311" s="8"/>
      <c r="I311" s="8"/>
    </row>
    <row r="312">
      <c r="B312" s="127"/>
      <c r="C312" s="127"/>
      <c r="H312" s="8"/>
      <c r="I312" s="8"/>
    </row>
    <row r="313">
      <c r="B313" s="127"/>
      <c r="C313" s="127"/>
      <c r="H313" s="8"/>
      <c r="I313" s="8"/>
    </row>
    <row r="314">
      <c r="B314" s="127"/>
      <c r="C314" s="127"/>
      <c r="H314" s="8"/>
      <c r="I314" s="8"/>
    </row>
    <row r="315">
      <c r="B315" s="127"/>
      <c r="C315" s="127"/>
      <c r="H315" s="8"/>
      <c r="I315" s="8"/>
    </row>
    <row r="316">
      <c r="B316" s="127"/>
      <c r="C316" s="127"/>
      <c r="H316" s="8"/>
      <c r="I316" s="8"/>
    </row>
    <row r="317">
      <c r="B317" s="127"/>
      <c r="C317" s="127"/>
      <c r="H317" s="8"/>
      <c r="I317" s="8"/>
    </row>
    <row r="318">
      <c r="B318" s="127"/>
      <c r="C318" s="127"/>
      <c r="H318" s="8"/>
      <c r="I318" s="8"/>
    </row>
    <row r="319">
      <c r="B319" s="127"/>
      <c r="C319" s="127"/>
      <c r="H319" s="8"/>
      <c r="I319" s="8"/>
    </row>
    <row r="320">
      <c r="B320" s="127"/>
      <c r="C320" s="127"/>
      <c r="H320" s="8"/>
      <c r="I320" s="8"/>
    </row>
    <row r="321">
      <c r="B321" s="127"/>
      <c r="C321" s="127"/>
      <c r="H321" s="8"/>
      <c r="I321" s="8"/>
    </row>
    <row r="322">
      <c r="B322" s="127"/>
      <c r="C322" s="127"/>
      <c r="H322" s="8"/>
      <c r="I322" s="8"/>
    </row>
    <row r="323">
      <c r="B323" s="127"/>
      <c r="C323" s="127"/>
      <c r="H323" s="8"/>
      <c r="I323" s="8"/>
    </row>
    <row r="324">
      <c r="B324" s="127"/>
      <c r="C324" s="127"/>
      <c r="H324" s="8"/>
      <c r="I324" s="8"/>
    </row>
    <row r="325">
      <c r="B325" s="127"/>
      <c r="C325" s="127"/>
      <c r="H325" s="8"/>
      <c r="I325" s="8"/>
    </row>
    <row r="326">
      <c r="B326" s="127"/>
      <c r="C326" s="127"/>
      <c r="H326" s="8"/>
      <c r="I326" s="8"/>
    </row>
    <row r="327">
      <c r="B327" s="127"/>
      <c r="C327" s="127"/>
      <c r="H327" s="8"/>
      <c r="I327" s="8"/>
    </row>
    <row r="328">
      <c r="B328" s="127"/>
      <c r="C328" s="127"/>
      <c r="H328" s="8"/>
      <c r="I328" s="8"/>
    </row>
    <row r="329">
      <c r="B329" s="127"/>
      <c r="C329" s="127"/>
      <c r="H329" s="8"/>
      <c r="I329" s="8"/>
    </row>
    <row r="330">
      <c r="B330" s="127"/>
      <c r="C330" s="127"/>
      <c r="H330" s="8"/>
      <c r="I330" s="8"/>
    </row>
    <row r="331">
      <c r="B331" s="127"/>
      <c r="C331" s="127"/>
      <c r="H331" s="8"/>
      <c r="I331" s="8"/>
    </row>
    <row r="332">
      <c r="B332" s="127"/>
      <c r="C332" s="127"/>
      <c r="H332" s="8"/>
      <c r="I332" s="8"/>
    </row>
    <row r="333">
      <c r="B333" s="127"/>
      <c r="C333" s="127"/>
      <c r="H333" s="8"/>
      <c r="I333" s="8"/>
    </row>
    <row r="334">
      <c r="B334" s="127"/>
      <c r="C334" s="127"/>
      <c r="H334" s="8"/>
      <c r="I334" s="8"/>
    </row>
    <row r="335">
      <c r="B335" s="127"/>
      <c r="C335" s="127"/>
      <c r="H335" s="8"/>
      <c r="I335" s="8"/>
    </row>
    <row r="336">
      <c r="B336" s="127"/>
      <c r="C336" s="127"/>
      <c r="H336" s="8"/>
      <c r="I336" s="8"/>
    </row>
    <row r="337">
      <c r="B337" s="127"/>
      <c r="C337" s="127"/>
      <c r="H337" s="8"/>
      <c r="I337" s="8"/>
    </row>
    <row r="338">
      <c r="B338" s="127"/>
      <c r="C338" s="127"/>
      <c r="H338" s="8"/>
      <c r="I338" s="8"/>
    </row>
    <row r="339">
      <c r="B339" s="127"/>
      <c r="C339" s="127"/>
      <c r="H339" s="8"/>
      <c r="I339" s="8"/>
    </row>
    <row r="340">
      <c r="B340" s="127"/>
      <c r="C340" s="127"/>
      <c r="H340" s="8"/>
      <c r="I340" s="8"/>
    </row>
    <row r="341">
      <c r="B341" s="127"/>
      <c r="C341" s="127"/>
      <c r="H341" s="8"/>
      <c r="I341" s="8"/>
    </row>
    <row r="342">
      <c r="B342" s="127"/>
      <c r="C342" s="127"/>
      <c r="H342" s="8"/>
      <c r="I342" s="8"/>
    </row>
    <row r="343">
      <c r="B343" s="127"/>
      <c r="C343" s="127"/>
      <c r="H343" s="8"/>
      <c r="I343" s="8"/>
    </row>
    <row r="344">
      <c r="B344" s="127"/>
      <c r="C344" s="127"/>
      <c r="H344" s="8"/>
      <c r="I344" s="8"/>
    </row>
    <row r="345">
      <c r="B345" s="127"/>
      <c r="C345" s="127"/>
      <c r="H345" s="8"/>
      <c r="I345" s="8"/>
    </row>
    <row r="346">
      <c r="B346" s="127"/>
      <c r="C346" s="127"/>
      <c r="H346" s="8"/>
      <c r="I346" s="8"/>
    </row>
    <row r="347">
      <c r="B347" s="127"/>
      <c r="C347" s="127"/>
      <c r="H347" s="8"/>
      <c r="I347" s="8"/>
    </row>
    <row r="348">
      <c r="B348" s="127"/>
      <c r="C348" s="127"/>
      <c r="H348" s="8"/>
      <c r="I348" s="8"/>
    </row>
    <row r="349">
      <c r="B349" s="127"/>
      <c r="C349" s="127"/>
      <c r="H349" s="8"/>
      <c r="I349" s="8"/>
    </row>
    <row r="350">
      <c r="B350" s="127"/>
      <c r="C350" s="127"/>
      <c r="H350" s="8"/>
      <c r="I350" s="8"/>
    </row>
    <row r="351">
      <c r="B351" s="127"/>
      <c r="C351" s="127"/>
      <c r="H351" s="8"/>
      <c r="I351" s="8"/>
    </row>
    <row r="352">
      <c r="B352" s="127"/>
      <c r="C352" s="127"/>
      <c r="H352" s="8"/>
      <c r="I352" s="8"/>
    </row>
    <row r="353">
      <c r="B353" s="127"/>
      <c r="C353" s="127"/>
      <c r="H353" s="8"/>
      <c r="I353" s="8"/>
    </row>
    <row r="354">
      <c r="B354" s="127"/>
      <c r="C354" s="127"/>
      <c r="H354" s="8"/>
      <c r="I354" s="8"/>
    </row>
    <row r="355">
      <c r="B355" s="127"/>
      <c r="C355" s="127"/>
      <c r="H355" s="8"/>
      <c r="I355" s="8"/>
    </row>
    <row r="356">
      <c r="B356" s="127"/>
      <c r="C356" s="127"/>
      <c r="H356" s="8"/>
      <c r="I356" s="8"/>
    </row>
    <row r="357">
      <c r="B357" s="127"/>
      <c r="C357" s="127"/>
      <c r="H357" s="8"/>
      <c r="I357" s="8"/>
    </row>
    <row r="358">
      <c r="B358" s="127"/>
      <c r="C358" s="127"/>
      <c r="H358" s="8"/>
      <c r="I358" s="8"/>
    </row>
    <row r="359">
      <c r="B359" s="127"/>
      <c r="C359" s="127"/>
      <c r="H359" s="8"/>
      <c r="I359" s="8"/>
    </row>
    <row r="360">
      <c r="B360" s="127"/>
      <c r="C360" s="127"/>
      <c r="H360" s="8"/>
      <c r="I360" s="8"/>
    </row>
    <row r="361">
      <c r="B361" s="127"/>
      <c r="C361" s="127"/>
      <c r="H361" s="8"/>
      <c r="I361" s="8"/>
    </row>
    <row r="362">
      <c r="B362" s="127"/>
      <c r="C362" s="127"/>
      <c r="H362" s="8"/>
      <c r="I362" s="8"/>
    </row>
    <row r="363">
      <c r="B363" s="127"/>
      <c r="C363" s="127"/>
      <c r="H363" s="8"/>
      <c r="I363" s="8"/>
    </row>
    <row r="364">
      <c r="B364" s="127"/>
      <c r="C364" s="127"/>
      <c r="H364" s="8"/>
      <c r="I364" s="8"/>
    </row>
    <row r="365">
      <c r="B365" s="127"/>
      <c r="C365" s="127"/>
      <c r="H365" s="8"/>
      <c r="I365" s="8"/>
    </row>
    <row r="366">
      <c r="B366" s="127"/>
      <c r="C366" s="127"/>
      <c r="H366" s="8"/>
      <c r="I366" s="8"/>
    </row>
    <row r="367">
      <c r="B367" s="127"/>
      <c r="C367" s="127"/>
      <c r="H367" s="8"/>
      <c r="I367" s="8"/>
    </row>
    <row r="368">
      <c r="B368" s="127"/>
      <c r="C368" s="127"/>
      <c r="H368" s="8"/>
      <c r="I368" s="8"/>
    </row>
    <row r="369">
      <c r="B369" s="127"/>
      <c r="C369" s="127"/>
      <c r="H369" s="8"/>
      <c r="I369" s="8"/>
    </row>
    <row r="370">
      <c r="B370" s="127"/>
      <c r="C370" s="127"/>
      <c r="H370" s="8"/>
      <c r="I370" s="8"/>
    </row>
    <row r="371">
      <c r="B371" s="127"/>
      <c r="C371" s="127"/>
      <c r="H371" s="8"/>
      <c r="I371" s="8"/>
    </row>
    <row r="372">
      <c r="B372" s="127"/>
      <c r="C372" s="127"/>
      <c r="H372" s="8"/>
      <c r="I372" s="8"/>
    </row>
    <row r="373">
      <c r="B373" s="127"/>
      <c r="C373" s="127"/>
      <c r="H373" s="8"/>
      <c r="I373" s="8"/>
    </row>
    <row r="374">
      <c r="B374" s="127"/>
      <c r="C374" s="127"/>
      <c r="H374" s="8"/>
      <c r="I374" s="8"/>
    </row>
    <row r="375">
      <c r="B375" s="127"/>
      <c r="C375" s="127"/>
      <c r="H375" s="8"/>
      <c r="I375" s="8"/>
    </row>
    <row r="376">
      <c r="B376" s="127"/>
      <c r="C376" s="127"/>
      <c r="H376" s="8"/>
      <c r="I376" s="8"/>
    </row>
    <row r="377">
      <c r="B377" s="127"/>
      <c r="C377" s="127"/>
      <c r="H377" s="8"/>
      <c r="I377" s="8"/>
    </row>
    <row r="378">
      <c r="B378" s="127"/>
      <c r="C378" s="127"/>
      <c r="H378" s="8"/>
      <c r="I378" s="8"/>
    </row>
    <row r="379">
      <c r="B379" s="127"/>
      <c r="C379" s="127"/>
      <c r="H379" s="8"/>
      <c r="I379" s="8"/>
    </row>
    <row r="380">
      <c r="B380" s="127"/>
      <c r="C380" s="127"/>
      <c r="H380" s="8"/>
      <c r="I380" s="8"/>
    </row>
    <row r="381">
      <c r="B381" s="127"/>
      <c r="C381" s="127"/>
      <c r="H381" s="8"/>
      <c r="I381" s="8"/>
    </row>
    <row r="382">
      <c r="B382" s="127"/>
      <c r="C382" s="127"/>
      <c r="H382" s="8"/>
      <c r="I382" s="8"/>
    </row>
    <row r="383">
      <c r="B383" s="127"/>
      <c r="C383" s="127"/>
      <c r="H383" s="8"/>
      <c r="I383" s="8"/>
    </row>
    <row r="384">
      <c r="B384" s="127"/>
      <c r="C384" s="127"/>
      <c r="H384" s="8"/>
      <c r="I384" s="8"/>
    </row>
    <row r="385">
      <c r="B385" s="127"/>
      <c r="C385" s="127"/>
      <c r="H385" s="8"/>
      <c r="I385" s="8"/>
    </row>
    <row r="386">
      <c r="B386" s="127"/>
      <c r="C386" s="127"/>
      <c r="H386" s="8"/>
      <c r="I386" s="8"/>
    </row>
    <row r="387">
      <c r="B387" s="127"/>
      <c r="C387" s="127"/>
      <c r="H387" s="8"/>
      <c r="I387" s="8"/>
    </row>
    <row r="388">
      <c r="B388" s="127"/>
      <c r="C388" s="127"/>
      <c r="H388" s="8"/>
      <c r="I388" s="8"/>
    </row>
    <row r="389">
      <c r="B389" s="127"/>
      <c r="C389" s="127"/>
      <c r="H389" s="8"/>
      <c r="I389" s="8"/>
    </row>
    <row r="390">
      <c r="B390" s="127"/>
      <c r="C390" s="127"/>
      <c r="H390" s="8"/>
      <c r="I390" s="8"/>
    </row>
    <row r="391">
      <c r="B391" s="127"/>
      <c r="C391" s="127"/>
      <c r="H391" s="8"/>
      <c r="I391" s="8"/>
    </row>
    <row r="392">
      <c r="B392" s="127"/>
      <c r="C392" s="127"/>
      <c r="H392" s="8"/>
      <c r="I392" s="8"/>
    </row>
    <row r="393">
      <c r="B393" s="127"/>
      <c r="C393" s="127"/>
      <c r="H393" s="8"/>
      <c r="I393" s="8"/>
    </row>
    <row r="394">
      <c r="B394" s="127"/>
      <c r="C394" s="127"/>
      <c r="H394" s="8"/>
      <c r="I394" s="8"/>
    </row>
    <row r="395">
      <c r="B395" s="127"/>
      <c r="C395" s="127"/>
      <c r="H395" s="8"/>
      <c r="I395" s="8"/>
    </row>
    <row r="396">
      <c r="B396" s="127"/>
      <c r="C396" s="127"/>
      <c r="H396" s="8"/>
      <c r="I396" s="8"/>
    </row>
    <row r="397">
      <c r="B397" s="127"/>
      <c r="C397" s="127"/>
      <c r="H397" s="8"/>
      <c r="I397" s="8"/>
    </row>
    <row r="398">
      <c r="B398" s="127"/>
      <c r="C398" s="127"/>
      <c r="H398" s="8"/>
      <c r="I398" s="8"/>
    </row>
    <row r="399">
      <c r="B399" s="127"/>
      <c r="C399" s="127"/>
      <c r="H399" s="8"/>
      <c r="I399" s="8"/>
    </row>
    <row r="400">
      <c r="B400" s="127"/>
      <c r="C400" s="127"/>
      <c r="H400" s="8"/>
      <c r="I400" s="8"/>
    </row>
    <row r="401">
      <c r="B401" s="127"/>
      <c r="C401" s="127"/>
      <c r="H401" s="8"/>
      <c r="I401" s="8"/>
    </row>
    <row r="402">
      <c r="B402" s="127"/>
      <c r="C402" s="127"/>
      <c r="H402" s="8"/>
      <c r="I402" s="8"/>
    </row>
    <row r="403">
      <c r="B403" s="127"/>
      <c r="C403" s="127"/>
      <c r="H403" s="8"/>
      <c r="I403" s="8"/>
    </row>
    <row r="404">
      <c r="B404" s="127"/>
      <c r="C404" s="127"/>
      <c r="H404" s="8"/>
      <c r="I404" s="8"/>
    </row>
    <row r="405">
      <c r="B405" s="127"/>
      <c r="C405" s="127"/>
      <c r="H405" s="8"/>
      <c r="I405" s="8"/>
    </row>
    <row r="406">
      <c r="B406" s="127"/>
      <c r="C406" s="127"/>
      <c r="H406" s="8"/>
      <c r="I406" s="8"/>
    </row>
    <row r="407">
      <c r="B407" s="127"/>
      <c r="C407" s="127"/>
      <c r="H407" s="8"/>
      <c r="I407" s="8"/>
    </row>
    <row r="408">
      <c r="B408" s="127"/>
      <c r="C408" s="127"/>
      <c r="H408" s="8"/>
      <c r="I408" s="8"/>
    </row>
    <row r="409">
      <c r="B409" s="127"/>
      <c r="C409" s="127"/>
      <c r="H409" s="8"/>
      <c r="I409" s="8"/>
    </row>
    <row r="410">
      <c r="B410" s="127"/>
      <c r="C410" s="127"/>
      <c r="H410" s="8"/>
      <c r="I410" s="8"/>
    </row>
    <row r="411">
      <c r="B411" s="127"/>
      <c r="C411" s="127"/>
      <c r="H411" s="8"/>
      <c r="I411" s="8"/>
    </row>
    <row r="412">
      <c r="B412" s="127"/>
      <c r="C412" s="127"/>
      <c r="H412" s="8"/>
      <c r="I412" s="8"/>
    </row>
    <row r="413">
      <c r="B413" s="127"/>
      <c r="C413" s="127"/>
      <c r="H413" s="8"/>
      <c r="I413" s="8"/>
    </row>
    <row r="414">
      <c r="B414" s="127"/>
      <c r="C414" s="127"/>
      <c r="H414" s="8"/>
      <c r="I414" s="8"/>
    </row>
    <row r="415">
      <c r="B415" s="127"/>
      <c r="C415" s="127"/>
      <c r="H415" s="8"/>
      <c r="I415" s="8"/>
    </row>
    <row r="416">
      <c r="B416" s="127"/>
      <c r="C416" s="127"/>
      <c r="H416" s="8"/>
      <c r="I416" s="8"/>
    </row>
    <row r="417">
      <c r="B417" s="127"/>
      <c r="C417" s="127"/>
      <c r="H417" s="8"/>
      <c r="I417" s="8"/>
    </row>
    <row r="418">
      <c r="B418" s="127"/>
      <c r="C418" s="127"/>
      <c r="H418" s="8"/>
      <c r="I418" s="8"/>
    </row>
    <row r="419">
      <c r="B419" s="127"/>
      <c r="C419" s="127"/>
      <c r="H419" s="8"/>
      <c r="I419" s="8"/>
    </row>
    <row r="420">
      <c r="B420" s="127"/>
      <c r="C420" s="127"/>
      <c r="H420" s="8"/>
      <c r="I420" s="8"/>
    </row>
    <row r="421">
      <c r="B421" s="127"/>
      <c r="C421" s="127"/>
      <c r="H421" s="8"/>
      <c r="I421" s="8"/>
    </row>
    <row r="422">
      <c r="B422" s="127"/>
      <c r="C422" s="127"/>
      <c r="H422" s="8"/>
      <c r="I422" s="8"/>
    </row>
    <row r="423">
      <c r="B423" s="127"/>
      <c r="C423" s="127"/>
      <c r="H423" s="8"/>
      <c r="I423" s="8"/>
    </row>
    <row r="424">
      <c r="B424" s="127"/>
      <c r="C424" s="127"/>
      <c r="H424" s="8"/>
      <c r="I424" s="8"/>
    </row>
    <row r="425">
      <c r="B425" s="127"/>
      <c r="C425" s="127"/>
      <c r="H425" s="8"/>
      <c r="I425" s="8"/>
    </row>
    <row r="426">
      <c r="B426" s="127"/>
      <c r="C426" s="127"/>
      <c r="H426" s="8"/>
      <c r="I426" s="8"/>
    </row>
    <row r="427">
      <c r="B427" s="127"/>
      <c r="C427" s="127"/>
      <c r="H427" s="8"/>
      <c r="I427" s="8"/>
    </row>
    <row r="428">
      <c r="B428" s="127"/>
      <c r="C428" s="127"/>
      <c r="H428" s="8"/>
      <c r="I428" s="8"/>
    </row>
    <row r="429">
      <c r="B429" s="127"/>
      <c r="C429" s="127"/>
      <c r="H429" s="8"/>
      <c r="I429" s="8"/>
    </row>
    <row r="430">
      <c r="B430" s="127"/>
      <c r="C430" s="127"/>
      <c r="H430" s="8"/>
      <c r="I430" s="8"/>
    </row>
    <row r="431">
      <c r="B431" s="127"/>
      <c r="C431" s="127"/>
      <c r="H431" s="8"/>
      <c r="I431" s="8"/>
    </row>
    <row r="432">
      <c r="B432" s="127"/>
      <c r="C432" s="127"/>
      <c r="H432" s="8"/>
      <c r="I432" s="8"/>
    </row>
    <row r="433">
      <c r="B433" s="127"/>
      <c r="C433" s="127"/>
      <c r="H433" s="8"/>
      <c r="I433" s="8"/>
    </row>
    <row r="434">
      <c r="B434" s="127"/>
      <c r="C434" s="127"/>
      <c r="H434" s="8"/>
      <c r="I434" s="8"/>
    </row>
    <row r="435">
      <c r="B435" s="127"/>
      <c r="C435" s="127"/>
      <c r="H435" s="8"/>
      <c r="I435" s="8"/>
    </row>
    <row r="436">
      <c r="B436" s="127"/>
      <c r="C436" s="127"/>
      <c r="H436" s="8"/>
      <c r="I436" s="8"/>
    </row>
    <row r="437">
      <c r="B437" s="127"/>
      <c r="C437" s="127"/>
      <c r="H437" s="8"/>
      <c r="I437" s="8"/>
    </row>
    <row r="438">
      <c r="B438" s="127"/>
      <c r="C438" s="127"/>
      <c r="H438" s="8"/>
      <c r="I438" s="8"/>
    </row>
    <row r="439">
      <c r="B439" s="127"/>
      <c r="C439" s="127"/>
      <c r="H439" s="8"/>
      <c r="I439" s="8"/>
    </row>
    <row r="440">
      <c r="B440" s="127"/>
      <c r="C440" s="127"/>
      <c r="H440" s="8"/>
      <c r="I440" s="8"/>
    </row>
    <row r="441">
      <c r="B441" s="127"/>
      <c r="C441" s="127"/>
      <c r="H441" s="8"/>
      <c r="I441" s="8"/>
    </row>
    <row r="442">
      <c r="B442" s="127"/>
      <c r="C442" s="127"/>
      <c r="H442" s="8"/>
      <c r="I442" s="8"/>
    </row>
    <row r="443">
      <c r="B443" s="127"/>
      <c r="C443" s="127"/>
      <c r="H443" s="8"/>
      <c r="I443" s="8"/>
    </row>
    <row r="444">
      <c r="B444" s="127"/>
      <c r="C444" s="127"/>
      <c r="H444" s="8"/>
      <c r="I444" s="8"/>
    </row>
    <row r="445">
      <c r="B445" s="127"/>
      <c r="C445" s="127"/>
      <c r="H445" s="8"/>
      <c r="I445" s="8"/>
    </row>
    <row r="446">
      <c r="B446" s="127"/>
      <c r="C446" s="127"/>
      <c r="H446" s="8"/>
      <c r="I446" s="8"/>
    </row>
    <row r="447">
      <c r="B447" s="127"/>
      <c r="C447" s="127"/>
      <c r="H447" s="8"/>
      <c r="I447" s="8"/>
    </row>
    <row r="448">
      <c r="B448" s="127"/>
      <c r="C448" s="127"/>
      <c r="H448" s="8"/>
      <c r="I448" s="8"/>
    </row>
    <row r="449">
      <c r="B449" s="127"/>
      <c r="C449" s="127"/>
      <c r="H449" s="8"/>
      <c r="I449" s="8"/>
    </row>
    <row r="450">
      <c r="B450" s="127"/>
      <c r="C450" s="127"/>
      <c r="H450" s="8"/>
      <c r="I450" s="8"/>
    </row>
    <row r="451">
      <c r="B451" s="127"/>
      <c r="C451" s="127"/>
      <c r="H451" s="8"/>
      <c r="I451" s="8"/>
    </row>
    <row r="452">
      <c r="B452" s="127"/>
      <c r="C452" s="127"/>
      <c r="H452" s="8"/>
      <c r="I452" s="8"/>
    </row>
    <row r="453">
      <c r="B453" s="127"/>
      <c r="C453" s="127"/>
      <c r="H453" s="8"/>
      <c r="I453" s="8"/>
    </row>
    <row r="454">
      <c r="B454" s="127"/>
      <c r="C454" s="127"/>
      <c r="H454" s="8"/>
      <c r="I454" s="8"/>
    </row>
    <row r="455">
      <c r="B455" s="127"/>
      <c r="C455" s="127"/>
      <c r="H455" s="8"/>
      <c r="I455" s="8"/>
    </row>
    <row r="456">
      <c r="B456" s="127"/>
      <c r="C456" s="127"/>
      <c r="H456" s="8"/>
      <c r="I456" s="8"/>
    </row>
    <row r="457">
      <c r="B457" s="127"/>
      <c r="C457" s="127"/>
      <c r="H457" s="8"/>
      <c r="I457" s="8"/>
    </row>
    <row r="458">
      <c r="B458" s="127"/>
      <c r="C458" s="127"/>
      <c r="H458" s="8"/>
      <c r="I458" s="8"/>
    </row>
    <row r="459">
      <c r="B459" s="127"/>
      <c r="C459" s="127"/>
      <c r="H459" s="8"/>
      <c r="I459" s="8"/>
    </row>
    <row r="460">
      <c r="B460" s="127"/>
      <c r="C460" s="127"/>
      <c r="H460" s="8"/>
      <c r="I460" s="8"/>
    </row>
    <row r="461">
      <c r="B461" s="127"/>
      <c r="C461" s="127"/>
      <c r="H461" s="8"/>
      <c r="I461" s="8"/>
    </row>
    <row r="462">
      <c r="B462" s="127"/>
      <c r="C462" s="127"/>
      <c r="H462" s="8"/>
      <c r="I462" s="8"/>
    </row>
    <row r="463">
      <c r="B463" s="127"/>
      <c r="C463" s="127"/>
      <c r="H463" s="8"/>
      <c r="I463" s="8"/>
    </row>
    <row r="464">
      <c r="B464" s="127"/>
      <c r="C464" s="127"/>
      <c r="H464" s="8"/>
      <c r="I464" s="8"/>
    </row>
    <row r="465">
      <c r="B465" s="127"/>
      <c r="C465" s="127"/>
      <c r="H465" s="8"/>
      <c r="I465" s="8"/>
    </row>
    <row r="466">
      <c r="B466" s="127"/>
      <c r="C466" s="127"/>
      <c r="H466" s="8"/>
      <c r="I466" s="8"/>
    </row>
    <row r="467">
      <c r="B467" s="127"/>
      <c r="C467" s="127"/>
      <c r="H467" s="8"/>
      <c r="I467" s="8"/>
    </row>
    <row r="468">
      <c r="B468" s="127"/>
      <c r="C468" s="127"/>
      <c r="H468" s="8"/>
      <c r="I468" s="8"/>
    </row>
    <row r="469">
      <c r="B469" s="127"/>
      <c r="C469" s="127"/>
      <c r="H469" s="8"/>
      <c r="I469" s="8"/>
    </row>
    <row r="470">
      <c r="B470" s="127"/>
      <c r="C470" s="127"/>
      <c r="H470" s="8"/>
      <c r="I470" s="8"/>
    </row>
    <row r="471">
      <c r="B471" s="127"/>
      <c r="C471" s="127"/>
      <c r="H471" s="8"/>
      <c r="I471" s="8"/>
    </row>
    <row r="472">
      <c r="B472" s="127"/>
      <c r="C472" s="127"/>
      <c r="H472" s="8"/>
      <c r="I472" s="8"/>
    </row>
    <row r="473">
      <c r="B473" s="127"/>
      <c r="C473" s="127"/>
      <c r="H473" s="8"/>
      <c r="I473" s="8"/>
    </row>
    <row r="474">
      <c r="B474" s="127"/>
      <c r="C474" s="127"/>
      <c r="H474" s="8"/>
      <c r="I474" s="8"/>
    </row>
    <row r="475">
      <c r="B475" s="127"/>
      <c r="C475" s="127"/>
      <c r="H475" s="8"/>
      <c r="I475" s="8"/>
    </row>
    <row r="476">
      <c r="B476" s="127"/>
      <c r="C476" s="127"/>
      <c r="H476" s="8"/>
      <c r="I476" s="8"/>
    </row>
    <row r="477">
      <c r="B477" s="127"/>
      <c r="C477" s="127"/>
      <c r="H477" s="8"/>
      <c r="I477" s="8"/>
    </row>
    <row r="478">
      <c r="B478" s="127"/>
      <c r="C478" s="127"/>
      <c r="H478" s="8"/>
      <c r="I478" s="8"/>
    </row>
    <row r="479">
      <c r="B479" s="127"/>
      <c r="C479" s="127"/>
      <c r="H479" s="8"/>
      <c r="I479" s="8"/>
    </row>
    <row r="480">
      <c r="B480" s="127"/>
      <c r="C480" s="127"/>
      <c r="H480" s="8"/>
      <c r="I480" s="8"/>
    </row>
    <row r="481">
      <c r="B481" s="127"/>
      <c r="C481" s="127"/>
      <c r="H481" s="8"/>
      <c r="I481" s="8"/>
    </row>
    <row r="482">
      <c r="B482" s="127"/>
      <c r="C482" s="127"/>
      <c r="H482" s="8"/>
      <c r="I482" s="8"/>
    </row>
    <row r="483">
      <c r="B483" s="127"/>
      <c r="C483" s="127"/>
      <c r="H483" s="8"/>
      <c r="I483" s="8"/>
    </row>
    <row r="484">
      <c r="B484" s="127"/>
      <c r="C484" s="127"/>
      <c r="H484" s="8"/>
      <c r="I484" s="8"/>
    </row>
    <row r="485">
      <c r="B485" s="127"/>
      <c r="C485" s="127"/>
      <c r="H485" s="8"/>
      <c r="I485" s="8"/>
    </row>
    <row r="486">
      <c r="B486" s="127"/>
      <c r="C486" s="127"/>
      <c r="H486" s="8"/>
      <c r="I486" s="8"/>
    </row>
    <row r="487">
      <c r="B487" s="127"/>
      <c r="C487" s="127"/>
      <c r="H487" s="8"/>
      <c r="I487" s="8"/>
    </row>
    <row r="488">
      <c r="B488" s="127"/>
      <c r="C488" s="127"/>
      <c r="H488" s="8"/>
      <c r="I488" s="8"/>
    </row>
    <row r="489">
      <c r="B489" s="127"/>
      <c r="C489" s="127"/>
      <c r="H489" s="8"/>
      <c r="I489" s="8"/>
    </row>
    <row r="490">
      <c r="B490" s="127"/>
      <c r="C490" s="127"/>
      <c r="H490" s="8"/>
      <c r="I490" s="8"/>
    </row>
    <row r="491">
      <c r="B491" s="127"/>
      <c r="C491" s="127"/>
      <c r="H491" s="8"/>
      <c r="I491" s="8"/>
    </row>
    <row r="492">
      <c r="B492" s="127"/>
      <c r="C492" s="127"/>
      <c r="H492" s="8"/>
      <c r="I492" s="8"/>
    </row>
    <row r="493">
      <c r="B493" s="127"/>
      <c r="C493" s="127"/>
      <c r="H493" s="8"/>
      <c r="I493" s="8"/>
    </row>
    <row r="494">
      <c r="B494" s="127"/>
      <c r="C494" s="127"/>
      <c r="H494" s="8"/>
      <c r="I494" s="8"/>
    </row>
    <row r="495">
      <c r="B495" s="127"/>
      <c r="C495" s="127"/>
      <c r="H495" s="8"/>
      <c r="I495" s="8"/>
    </row>
    <row r="496">
      <c r="B496" s="127"/>
      <c r="C496" s="127"/>
      <c r="H496" s="8"/>
      <c r="I496" s="8"/>
    </row>
    <row r="497">
      <c r="B497" s="127"/>
      <c r="C497" s="127"/>
      <c r="H497" s="8"/>
      <c r="I497" s="8"/>
    </row>
    <row r="498">
      <c r="B498" s="127"/>
      <c r="C498" s="127"/>
      <c r="H498" s="8"/>
      <c r="I498" s="8"/>
    </row>
    <row r="499">
      <c r="B499" s="127"/>
      <c r="C499" s="127"/>
      <c r="H499" s="8"/>
      <c r="I499" s="8"/>
    </row>
    <row r="500">
      <c r="B500" s="127"/>
      <c r="C500" s="127"/>
      <c r="H500" s="8"/>
      <c r="I500" s="8"/>
    </row>
    <row r="501">
      <c r="B501" s="127"/>
      <c r="C501" s="127"/>
      <c r="H501" s="8"/>
      <c r="I501" s="8"/>
    </row>
    <row r="502">
      <c r="B502" s="127"/>
      <c r="C502" s="127"/>
      <c r="H502" s="8"/>
      <c r="I502" s="8"/>
    </row>
    <row r="503">
      <c r="B503" s="127"/>
      <c r="C503" s="127"/>
      <c r="H503" s="8"/>
      <c r="I503" s="8"/>
    </row>
    <row r="504">
      <c r="B504" s="127"/>
      <c r="C504" s="127"/>
      <c r="H504" s="8"/>
      <c r="I504" s="8"/>
    </row>
    <row r="505">
      <c r="B505" s="127"/>
      <c r="C505" s="127"/>
      <c r="H505" s="8"/>
      <c r="I505" s="8"/>
    </row>
    <row r="506">
      <c r="B506" s="127"/>
      <c r="C506" s="127"/>
      <c r="H506" s="8"/>
      <c r="I506" s="8"/>
    </row>
    <row r="507">
      <c r="B507" s="127"/>
      <c r="C507" s="127"/>
      <c r="H507" s="8"/>
      <c r="I507" s="8"/>
    </row>
    <row r="508">
      <c r="B508" s="127"/>
      <c r="C508" s="127"/>
      <c r="H508" s="8"/>
      <c r="I508" s="8"/>
    </row>
    <row r="509">
      <c r="B509" s="127"/>
      <c r="C509" s="127"/>
      <c r="H509" s="8"/>
      <c r="I509" s="8"/>
    </row>
    <row r="510">
      <c r="B510" s="127"/>
      <c r="C510" s="127"/>
      <c r="H510" s="8"/>
      <c r="I510" s="8"/>
    </row>
    <row r="511">
      <c r="B511" s="127"/>
      <c r="C511" s="127"/>
      <c r="H511" s="8"/>
      <c r="I511" s="8"/>
    </row>
    <row r="512">
      <c r="B512" s="127"/>
      <c r="C512" s="127"/>
      <c r="H512" s="8"/>
      <c r="I512" s="8"/>
    </row>
    <row r="513">
      <c r="B513" s="127"/>
      <c r="C513" s="127"/>
      <c r="H513" s="8"/>
      <c r="I513" s="8"/>
    </row>
    <row r="514">
      <c r="B514" s="127"/>
      <c r="C514" s="127"/>
      <c r="H514" s="8"/>
      <c r="I514" s="8"/>
    </row>
    <row r="515">
      <c r="B515" s="127"/>
      <c r="C515" s="127"/>
      <c r="H515" s="8"/>
      <c r="I515" s="8"/>
    </row>
    <row r="516">
      <c r="B516" s="127"/>
      <c r="C516" s="127"/>
      <c r="H516" s="8"/>
      <c r="I516" s="8"/>
    </row>
    <row r="517">
      <c r="B517" s="127"/>
      <c r="C517" s="127"/>
      <c r="H517" s="8"/>
      <c r="I517" s="8"/>
    </row>
    <row r="518">
      <c r="B518" s="127"/>
      <c r="C518" s="127"/>
      <c r="H518" s="8"/>
      <c r="I518" s="8"/>
    </row>
    <row r="519">
      <c r="B519" s="127"/>
      <c r="C519" s="127"/>
      <c r="H519" s="8"/>
      <c r="I519" s="8"/>
    </row>
    <row r="520">
      <c r="B520" s="127"/>
      <c r="C520" s="127"/>
      <c r="H520" s="8"/>
      <c r="I520" s="8"/>
    </row>
    <row r="521">
      <c r="B521" s="127"/>
      <c r="C521" s="127"/>
      <c r="H521" s="8"/>
      <c r="I521" s="8"/>
    </row>
    <row r="522">
      <c r="B522" s="127"/>
      <c r="C522" s="127"/>
      <c r="H522" s="8"/>
      <c r="I522" s="8"/>
    </row>
    <row r="523">
      <c r="B523" s="127"/>
      <c r="C523" s="127"/>
      <c r="H523" s="8"/>
      <c r="I523" s="8"/>
    </row>
    <row r="524">
      <c r="B524" s="127"/>
      <c r="C524" s="127"/>
      <c r="H524" s="8"/>
      <c r="I524" s="8"/>
    </row>
    <row r="525">
      <c r="B525" s="127"/>
      <c r="C525" s="127"/>
      <c r="H525" s="8"/>
      <c r="I525" s="8"/>
    </row>
    <row r="526">
      <c r="B526" s="127"/>
      <c r="C526" s="127"/>
      <c r="H526" s="8"/>
      <c r="I526" s="8"/>
    </row>
    <row r="527">
      <c r="B527" s="127"/>
      <c r="C527" s="127"/>
      <c r="H527" s="8"/>
      <c r="I527" s="8"/>
    </row>
    <row r="528">
      <c r="B528" s="127"/>
      <c r="C528" s="127"/>
      <c r="H528" s="8"/>
      <c r="I528" s="8"/>
    </row>
    <row r="529">
      <c r="B529" s="127"/>
      <c r="C529" s="127"/>
      <c r="H529" s="8"/>
      <c r="I529" s="8"/>
    </row>
    <row r="530">
      <c r="B530" s="127"/>
      <c r="C530" s="127"/>
      <c r="H530" s="8"/>
      <c r="I530" s="8"/>
    </row>
    <row r="531">
      <c r="B531" s="127"/>
      <c r="C531" s="127"/>
      <c r="H531" s="8"/>
      <c r="I531" s="8"/>
    </row>
    <row r="532">
      <c r="B532" s="127"/>
      <c r="C532" s="127"/>
      <c r="H532" s="8"/>
      <c r="I532" s="8"/>
    </row>
    <row r="533">
      <c r="B533" s="127"/>
      <c r="C533" s="127"/>
      <c r="H533" s="8"/>
      <c r="I533" s="8"/>
    </row>
    <row r="534">
      <c r="B534" s="127"/>
      <c r="C534" s="127"/>
      <c r="H534" s="8"/>
      <c r="I534" s="8"/>
    </row>
    <row r="535">
      <c r="B535" s="127"/>
      <c r="C535" s="127"/>
      <c r="H535" s="8"/>
      <c r="I535" s="8"/>
    </row>
    <row r="536">
      <c r="B536" s="127"/>
      <c r="C536" s="127"/>
      <c r="H536" s="8"/>
      <c r="I536" s="8"/>
    </row>
    <row r="537">
      <c r="B537" s="127"/>
      <c r="C537" s="127"/>
      <c r="H537" s="8"/>
      <c r="I537" s="8"/>
    </row>
    <row r="538">
      <c r="B538" s="127"/>
      <c r="C538" s="127"/>
      <c r="H538" s="8"/>
      <c r="I538" s="8"/>
    </row>
    <row r="539">
      <c r="B539" s="127"/>
      <c r="C539" s="127"/>
      <c r="H539" s="8"/>
      <c r="I539" s="8"/>
    </row>
    <row r="540">
      <c r="B540" s="127"/>
      <c r="C540" s="127"/>
      <c r="H540" s="8"/>
      <c r="I540" s="8"/>
    </row>
    <row r="541">
      <c r="B541" s="127"/>
      <c r="C541" s="127"/>
      <c r="H541" s="8"/>
      <c r="I541" s="8"/>
    </row>
    <row r="542">
      <c r="B542" s="127"/>
      <c r="C542" s="127"/>
      <c r="H542" s="8"/>
      <c r="I542" s="8"/>
    </row>
    <row r="543">
      <c r="B543" s="127"/>
      <c r="C543" s="127"/>
      <c r="H543" s="8"/>
      <c r="I543" s="8"/>
    </row>
    <row r="544">
      <c r="B544" s="127"/>
      <c r="C544" s="127"/>
      <c r="H544" s="8"/>
      <c r="I544" s="8"/>
    </row>
    <row r="545">
      <c r="B545" s="127"/>
      <c r="C545" s="127"/>
      <c r="H545" s="8"/>
      <c r="I545" s="8"/>
    </row>
    <row r="546">
      <c r="B546" s="127"/>
      <c r="C546" s="127"/>
      <c r="H546" s="8"/>
      <c r="I546" s="8"/>
    </row>
    <row r="547">
      <c r="B547" s="127"/>
      <c r="C547" s="127"/>
      <c r="H547" s="8"/>
      <c r="I547" s="8"/>
    </row>
    <row r="548">
      <c r="B548" s="127"/>
      <c r="C548" s="127"/>
      <c r="H548" s="8"/>
      <c r="I548" s="8"/>
    </row>
    <row r="549">
      <c r="B549" s="127"/>
      <c r="C549" s="127"/>
      <c r="H549" s="8"/>
      <c r="I549" s="8"/>
    </row>
    <row r="550">
      <c r="B550" s="127"/>
      <c r="C550" s="127"/>
      <c r="H550" s="8"/>
      <c r="I550" s="8"/>
    </row>
    <row r="551">
      <c r="B551" s="127"/>
      <c r="C551" s="127"/>
      <c r="H551" s="8"/>
      <c r="I551" s="8"/>
    </row>
    <row r="552">
      <c r="B552" s="127"/>
      <c r="C552" s="127"/>
      <c r="H552" s="8"/>
      <c r="I552" s="8"/>
    </row>
    <row r="553">
      <c r="B553" s="127"/>
      <c r="C553" s="127"/>
      <c r="H553" s="8"/>
      <c r="I553" s="8"/>
    </row>
    <row r="554">
      <c r="B554" s="127"/>
      <c r="C554" s="127"/>
      <c r="H554" s="8"/>
      <c r="I554" s="8"/>
    </row>
    <row r="555">
      <c r="B555" s="127"/>
      <c r="C555" s="127"/>
      <c r="H555" s="8"/>
      <c r="I555" s="8"/>
    </row>
    <row r="556">
      <c r="B556" s="127"/>
      <c r="C556" s="127"/>
      <c r="H556" s="8"/>
      <c r="I556" s="8"/>
    </row>
    <row r="557">
      <c r="B557" s="127"/>
      <c r="C557" s="127"/>
      <c r="H557" s="8"/>
      <c r="I557" s="8"/>
    </row>
    <row r="558">
      <c r="B558" s="127"/>
      <c r="C558" s="127"/>
      <c r="H558" s="8"/>
      <c r="I558" s="8"/>
    </row>
    <row r="559">
      <c r="B559" s="127"/>
      <c r="C559" s="127"/>
      <c r="H559" s="8"/>
      <c r="I559" s="8"/>
    </row>
    <row r="560">
      <c r="B560" s="127"/>
      <c r="C560" s="127"/>
      <c r="H560" s="8"/>
      <c r="I560" s="8"/>
    </row>
    <row r="561">
      <c r="B561" s="127"/>
      <c r="C561" s="127"/>
      <c r="H561" s="8"/>
      <c r="I561" s="8"/>
    </row>
    <row r="562">
      <c r="B562" s="127"/>
      <c r="C562" s="127"/>
      <c r="H562" s="8"/>
      <c r="I562" s="8"/>
    </row>
    <row r="563">
      <c r="B563" s="127"/>
      <c r="C563" s="127"/>
      <c r="H563" s="8"/>
      <c r="I563" s="8"/>
    </row>
    <row r="564">
      <c r="B564" s="127"/>
      <c r="C564" s="127"/>
      <c r="H564" s="8"/>
      <c r="I564" s="8"/>
    </row>
    <row r="565">
      <c r="B565" s="127"/>
      <c r="C565" s="127"/>
      <c r="H565" s="8"/>
      <c r="I565" s="8"/>
    </row>
    <row r="566">
      <c r="B566" s="127"/>
      <c r="C566" s="127"/>
      <c r="H566" s="8"/>
      <c r="I566" s="8"/>
    </row>
    <row r="567">
      <c r="B567" s="127"/>
      <c r="C567" s="127"/>
      <c r="H567" s="8"/>
      <c r="I567" s="8"/>
    </row>
    <row r="568">
      <c r="B568" s="127"/>
      <c r="C568" s="127"/>
      <c r="H568" s="8"/>
      <c r="I568" s="8"/>
    </row>
    <row r="569">
      <c r="B569" s="127"/>
      <c r="C569" s="127"/>
      <c r="H569" s="8"/>
      <c r="I569" s="8"/>
    </row>
    <row r="570">
      <c r="B570" s="127"/>
      <c r="C570" s="127"/>
      <c r="H570" s="8"/>
      <c r="I570" s="8"/>
    </row>
    <row r="571">
      <c r="B571" s="127"/>
      <c r="C571" s="127"/>
      <c r="H571" s="8"/>
      <c r="I571" s="8"/>
    </row>
    <row r="572">
      <c r="B572" s="127"/>
      <c r="C572" s="127"/>
      <c r="H572" s="8"/>
      <c r="I572" s="8"/>
    </row>
    <row r="573">
      <c r="B573" s="127"/>
      <c r="C573" s="127"/>
      <c r="H573" s="8"/>
      <c r="I573" s="8"/>
    </row>
    <row r="574">
      <c r="B574" s="127"/>
      <c r="C574" s="127"/>
      <c r="H574" s="8"/>
      <c r="I574" s="8"/>
    </row>
    <row r="575">
      <c r="B575" s="127"/>
      <c r="C575" s="127"/>
      <c r="H575" s="8"/>
      <c r="I575" s="8"/>
    </row>
    <row r="576">
      <c r="B576" s="127"/>
      <c r="C576" s="127"/>
      <c r="H576" s="8"/>
      <c r="I576" s="8"/>
    </row>
    <row r="577">
      <c r="B577" s="127"/>
      <c r="C577" s="127"/>
      <c r="H577" s="8"/>
      <c r="I577" s="8"/>
    </row>
    <row r="578">
      <c r="B578" s="127"/>
      <c r="C578" s="127"/>
      <c r="H578" s="8"/>
      <c r="I578" s="8"/>
    </row>
    <row r="579">
      <c r="B579" s="127"/>
      <c r="C579" s="127"/>
      <c r="H579" s="8"/>
      <c r="I579" s="8"/>
    </row>
    <row r="580">
      <c r="B580" s="127"/>
      <c r="C580" s="127"/>
      <c r="H580" s="8"/>
      <c r="I580" s="8"/>
    </row>
    <row r="581">
      <c r="B581" s="127"/>
      <c r="C581" s="127"/>
      <c r="H581" s="8"/>
      <c r="I581" s="8"/>
    </row>
    <row r="582">
      <c r="B582" s="127"/>
      <c r="C582" s="127"/>
      <c r="H582" s="8"/>
      <c r="I582" s="8"/>
    </row>
    <row r="583">
      <c r="B583" s="127"/>
      <c r="C583" s="127"/>
      <c r="H583" s="8"/>
      <c r="I583" s="8"/>
    </row>
    <row r="584">
      <c r="B584" s="127"/>
      <c r="C584" s="127"/>
      <c r="H584" s="8"/>
      <c r="I584" s="8"/>
    </row>
    <row r="585">
      <c r="B585" s="127"/>
      <c r="C585" s="127"/>
      <c r="H585" s="8"/>
      <c r="I585" s="8"/>
    </row>
    <row r="586">
      <c r="B586" s="127"/>
      <c r="C586" s="127"/>
      <c r="H586" s="8"/>
      <c r="I586" s="8"/>
    </row>
    <row r="587">
      <c r="B587" s="127"/>
      <c r="C587" s="127"/>
      <c r="H587" s="8"/>
      <c r="I587" s="8"/>
    </row>
    <row r="588">
      <c r="B588" s="127"/>
      <c r="C588" s="127"/>
      <c r="H588" s="8"/>
      <c r="I588" s="8"/>
    </row>
    <row r="589">
      <c r="B589" s="127"/>
      <c r="C589" s="127"/>
      <c r="H589" s="8"/>
      <c r="I589" s="8"/>
    </row>
    <row r="590">
      <c r="B590" s="127"/>
      <c r="C590" s="127"/>
      <c r="H590" s="8"/>
      <c r="I590" s="8"/>
    </row>
    <row r="591">
      <c r="B591" s="127"/>
      <c r="C591" s="127"/>
      <c r="H591" s="8"/>
      <c r="I591" s="8"/>
    </row>
    <row r="592">
      <c r="B592" s="127"/>
      <c r="C592" s="127"/>
      <c r="H592" s="8"/>
      <c r="I592" s="8"/>
    </row>
    <row r="593">
      <c r="B593" s="127"/>
      <c r="C593" s="127"/>
      <c r="H593" s="8"/>
      <c r="I593" s="8"/>
    </row>
    <row r="594">
      <c r="B594" s="127"/>
      <c r="C594" s="127"/>
      <c r="H594" s="8"/>
      <c r="I594" s="8"/>
    </row>
    <row r="595">
      <c r="B595" s="127"/>
      <c r="C595" s="127"/>
      <c r="H595" s="8"/>
      <c r="I595" s="8"/>
    </row>
    <row r="596">
      <c r="B596" s="127"/>
      <c r="C596" s="127"/>
      <c r="H596" s="8"/>
      <c r="I596" s="8"/>
    </row>
    <row r="597">
      <c r="B597" s="127"/>
      <c r="C597" s="127"/>
      <c r="H597" s="8"/>
      <c r="I597" s="8"/>
    </row>
    <row r="598">
      <c r="B598" s="127"/>
      <c r="C598" s="127"/>
      <c r="H598" s="8"/>
      <c r="I598" s="8"/>
    </row>
    <row r="599">
      <c r="B599" s="127"/>
      <c r="C599" s="127"/>
      <c r="H599" s="8"/>
      <c r="I599" s="8"/>
    </row>
    <row r="600">
      <c r="B600" s="127"/>
      <c r="C600" s="127"/>
      <c r="H600" s="8"/>
      <c r="I600" s="8"/>
    </row>
    <row r="601">
      <c r="B601" s="127"/>
      <c r="C601" s="127"/>
      <c r="H601" s="8"/>
      <c r="I601" s="8"/>
    </row>
    <row r="602">
      <c r="B602" s="127"/>
      <c r="C602" s="127"/>
      <c r="H602" s="8"/>
      <c r="I602" s="8"/>
    </row>
    <row r="603">
      <c r="B603" s="127"/>
      <c r="C603" s="127"/>
      <c r="H603" s="8"/>
      <c r="I603" s="8"/>
    </row>
    <row r="604">
      <c r="B604" s="127"/>
      <c r="C604" s="127"/>
      <c r="H604" s="8"/>
      <c r="I604" s="8"/>
    </row>
    <row r="605">
      <c r="B605" s="127"/>
      <c r="C605" s="127"/>
      <c r="H605" s="8"/>
      <c r="I605" s="8"/>
    </row>
    <row r="606">
      <c r="B606" s="127"/>
      <c r="C606" s="127"/>
      <c r="H606" s="8"/>
      <c r="I606" s="8"/>
    </row>
    <row r="607">
      <c r="B607" s="127"/>
      <c r="C607" s="127"/>
      <c r="H607" s="8"/>
      <c r="I607" s="8"/>
    </row>
    <row r="608">
      <c r="B608" s="127"/>
      <c r="C608" s="127"/>
      <c r="H608" s="8"/>
      <c r="I608" s="8"/>
    </row>
    <row r="609">
      <c r="B609" s="127"/>
      <c r="C609" s="127"/>
      <c r="H609" s="8"/>
      <c r="I609" s="8"/>
    </row>
    <row r="610">
      <c r="B610" s="127"/>
      <c r="C610" s="127"/>
      <c r="H610" s="8"/>
      <c r="I610" s="8"/>
    </row>
    <row r="611">
      <c r="B611" s="127"/>
      <c r="C611" s="127"/>
      <c r="H611" s="8"/>
      <c r="I611" s="8"/>
    </row>
    <row r="612">
      <c r="B612" s="127"/>
      <c r="C612" s="127"/>
      <c r="H612" s="8"/>
      <c r="I612" s="8"/>
    </row>
    <row r="613">
      <c r="B613" s="127"/>
      <c r="C613" s="127"/>
      <c r="H613" s="8"/>
      <c r="I613" s="8"/>
    </row>
    <row r="614">
      <c r="B614" s="127"/>
      <c r="C614" s="127"/>
      <c r="H614" s="8"/>
      <c r="I614" s="8"/>
    </row>
    <row r="615">
      <c r="B615" s="127"/>
      <c r="C615" s="127"/>
      <c r="H615" s="8"/>
      <c r="I615" s="8"/>
    </row>
    <row r="616">
      <c r="B616" s="127"/>
      <c r="C616" s="127"/>
      <c r="H616" s="8"/>
      <c r="I616" s="8"/>
    </row>
    <row r="617">
      <c r="B617" s="127"/>
      <c r="C617" s="127"/>
      <c r="H617" s="8"/>
      <c r="I617" s="8"/>
    </row>
    <row r="618">
      <c r="B618" s="127"/>
      <c r="C618" s="127"/>
      <c r="H618" s="8"/>
      <c r="I618" s="8"/>
    </row>
    <row r="619">
      <c r="B619" s="127"/>
      <c r="C619" s="127"/>
      <c r="H619" s="8"/>
      <c r="I619" s="8"/>
    </row>
    <row r="620">
      <c r="B620" s="127"/>
      <c r="C620" s="127"/>
      <c r="H620" s="8"/>
      <c r="I620" s="8"/>
    </row>
    <row r="621">
      <c r="B621" s="127"/>
      <c r="C621" s="127"/>
      <c r="H621" s="8"/>
      <c r="I621" s="8"/>
    </row>
    <row r="622">
      <c r="B622" s="127"/>
      <c r="C622" s="127"/>
      <c r="H622" s="8"/>
      <c r="I622" s="8"/>
    </row>
    <row r="623">
      <c r="B623" s="127"/>
      <c r="C623" s="127"/>
      <c r="H623" s="8"/>
      <c r="I623" s="8"/>
    </row>
    <row r="624">
      <c r="B624" s="127"/>
      <c r="C624" s="127"/>
      <c r="H624" s="8"/>
      <c r="I624" s="8"/>
    </row>
    <row r="625">
      <c r="B625" s="127"/>
      <c r="C625" s="127"/>
      <c r="H625" s="8"/>
      <c r="I625" s="8"/>
    </row>
    <row r="626">
      <c r="B626" s="127"/>
      <c r="C626" s="127"/>
      <c r="H626" s="8"/>
      <c r="I626" s="8"/>
    </row>
    <row r="627">
      <c r="B627" s="127"/>
      <c r="C627" s="127"/>
      <c r="H627" s="8"/>
      <c r="I627" s="8"/>
    </row>
    <row r="628">
      <c r="B628" s="127"/>
      <c r="C628" s="127"/>
      <c r="H628" s="8"/>
      <c r="I628" s="8"/>
    </row>
    <row r="629">
      <c r="B629" s="127"/>
      <c r="C629" s="127"/>
      <c r="H629" s="8"/>
      <c r="I629" s="8"/>
    </row>
    <row r="630">
      <c r="B630" s="127"/>
      <c r="C630" s="127"/>
      <c r="H630" s="8"/>
      <c r="I630" s="8"/>
    </row>
    <row r="631">
      <c r="B631" s="127"/>
      <c r="C631" s="127"/>
      <c r="H631" s="8"/>
      <c r="I631" s="8"/>
    </row>
    <row r="632">
      <c r="B632" s="127"/>
      <c r="C632" s="127"/>
      <c r="H632" s="8"/>
      <c r="I632" s="8"/>
    </row>
    <row r="633">
      <c r="B633" s="127"/>
      <c r="C633" s="127"/>
      <c r="H633" s="8"/>
      <c r="I633" s="8"/>
    </row>
    <row r="634">
      <c r="B634" s="127"/>
      <c r="C634" s="127"/>
      <c r="H634" s="8"/>
      <c r="I634" s="8"/>
    </row>
    <row r="635">
      <c r="B635" s="127"/>
      <c r="C635" s="127"/>
      <c r="H635" s="8"/>
      <c r="I635" s="8"/>
    </row>
    <row r="636">
      <c r="B636" s="127"/>
      <c r="C636" s="127"/>
      <c r="H636" s="8"/>
      <c r="I636" s="8"/>
    </row>
    <row r="637">
      <c r="B637" s="127"/>
      <c r="C637" s="127"/>
      <c r="H637" s="8"/>
      <c r="I637" s="8"/>
    </row>
    <row r="638">
      <c r="B638" s="127"/>
      <c r="C638" s="127"/>
      <c r="H638" s="8"/>
      <c r="I638" s="8"/>
    </row>
    <row r="639">
      <c r="B639" s="127"/>
      <c r="C639" s="127"/>
      <c r="H639" s="8"/>
      <c r="I639" s="8"/>
    </row>
    <row r="640">
      <c r="B640" s="127"/>
      <c r="C640" s="127"/>
      <c r="H640" s="8"/>
      <c r="I640" s="8"/>
    </row>
    <row r="641">
      <c r="B641" s="127"/>
      <c r="C641" s="127"/>
      <c r="H641" s="8"/>
      <c r="I641" s="8"/>
    </row>
    <row r="642">
      <c r="B642" s="127"/>
      <c r="C642" s="127"/>
      <c r="H642" s="8"/>
      <c r="I642" s="8"/>
    </row>
    <row r="643">
      <c r="B643" s="127"/>
      <c r="C643" s="127"/>
      <c r="H643" s="8"/>
      <c r="I643" s="8"/>
    </row>
    <row r="644">
      <c r="B644" s="127"/>
      <c r="C644" s="127"/>
      <c r="H644" s="8"/>
      <c r="I644" s="8"/>
    </row>
    <row r="645">
      <c r="B645" s="127"/>
      <c r="C645" s="127"/>
      <c r="H645" s="8"/>
      <c r="I645" s="8"/>
    </row>
    <row r="646">
      <c r="B646" s="127"/>
      <c r="C646" s="127"/>
      <c r="H646" s="8"/>
      <c r="I646" s="8"/>
    </row>
    <row r="647">
      <c r="B647" s="127"/>
      <c r="C647" s="127"/>
      <c r="H647" s="8"/>
      <c r="I647" s="8"/>
    </row>
    <row r="648">
      <c r="B648" s="127"/>
      <c r="C648" s="127"/>
      <c r="H648" s="8"/>
      <c r="I648" s="8"/>
    </row>
    <row r="649">
      <c r="B649" s="127"/>
      <c r="C649" s="127"/>
      <c r="H649" s="8"/>
      <c r="I649" s="8"/>
    </row>
    <row r="650">
      <c r="B650" s="127"/>
      <c r="C650" s="127"/>
      <c r="H650" s="8"/>
      <c r="I650" s="8"/>
    </row>
    <row r="651">
      <c r="B651" s="127"/>
      <c r="C651" s="127"/>
      <c r="H651" s="8"/>
      <c r="I651" s="8"/>
    </row>
    <row r="652">
      <c r="B652" s="127"/>
      <c r="C652" s="127"/>
      <c r="H652" s="8"/>
      <c r="I652" s="8"/>
    </row>
    <row r="653">
      <c r="B653" s="127"/>
      <c r="C653" s="127"/>
      <c r="H653" s="8"/>
      <c r="I653" s="8"/>
    </row>
    <row r="654">
      <c r="B654" s="127"/>
      <c r="C654" s="127"/>
      <c r="H654" s="8"/>
      <c r="I654" s="8"/>
    </row>
    <row r="655">
      <c r="B655" s="127"/>
      <c r="C655" s="127"/>
      <c r="H655" s="8"/>
      <c r="I655" s="8"/>
    </row>
    <row r="656">
      <c r="B656" s="127"/>
      <c r="C656" s="127"/>
      <c r="H656" s="8"/>
      <c r="I656" s="8"/>
    </row>
    <row r="657">
      <c r="B657" s="127"/>
      <c r="C657" s="127"/>
      <c r="H657" s="8"/>
      <c r="I657" s="8"/>
    </row>
    <row r="658">
      <c r="B658" s="127"/>
      <c r="C658" s="127"/>
      <c r="H658" s="8"/>
      <c r="I658" s="8"/>
    </row>
    <row r="659">
      <c r="B659" s="127"/>
      <c r="C659" s="127"/>
      <c r="H659" s="8"/>
      <c r="I659" s="8"/>
    </row>
    <row r="660">
      <c r="B660" s="127"/>
      <c r="C660" s="127"/>
      <c r="H660" s="8"/>
      <c r="I660" s="8"/>
    </row>
    <row r="661">
      <c r="B661" s="127"/>
      <c r="C661" s="127"/>
      <c r="H661" s="8"/>
      <c r="I661" s="8"/>
    </row>
    <row r="662">
      <c r="B662" s="127"/>
      <c r="C662" s="127"/>
      <c r="H662" s="8"/>
      <c r="I662" s="8"/>
    </row>
    <row r="663">
      <c r="B663" s="127"/>
      <c r="C663" s="127"/>
      <c r="H663" s="8"/>
      <c r="I663" s="8"/>
    </row>
    <row r="664">
      <c r="B664" s="127"/>
      <c r="C664" s="127"/>
      <c r="H664" s="8"/>
      <c r="I664" s="8"/>
    </row>
    <row r="665">
      <c r="B665" s="127"/>
      <c r="C665" s="127"/>
      <c r="H665" s="8"/>
      <c r="I665" s="8"/>
    </row>
    <row r="666">
      <c r="B666" s="127"/>
      <c r="C666" s="127"/>
      <c r="H666" s="8"/>
      <c r="I666" s="8"/>
    </row>
    <row r="667">
      <c r="B667" s="127"/>
      <c r="C667" s="127"/>
      <c r="H667" s="8"/>
      <c r="I667" s="8"/>
    </row>
    <row r="668">
      <c r="B668" s="127"/>
      <c r="C668" s="127"/>
      <c r="H668" s="8"/>
      <c r="I668" s="8"/>
    </row>
    <row r="669">
      <c r="B669" s="127"/>
      <c r="C669" s="127"/>
      <c r="H669" s="8"/>
      <c r="I669" s="8"/>
    </row>
    <row r="670">
      <c r="B670" s="127"/>
      <c r="C670" s="127"/>
      <c r="H670" s="8"/>
      <c r="I670" s="8"/>
    </row>
    <row r="671">
      <c r="B671" s="127"/>
      <c r="C671" s="127"/>
      <c r="H671" s="8"/>
      <c r="I671" s="8"/>
    </row>
    <row r="672">
      <c r="B672" s="127"/>
      <c r="C672" s="127"/>
      <c r="H672" s="8"/>
      <c r="I672" s="8"/>
    </row>
    <row r="673">
      <c r="B673" s="127"/>
      <c r="C673" s="127"/>
      <c r="H673" s="8"/>
      <c r="I673" s="8"/>
    </row>
    <row r="674">
      <c r="B674" s="127"/>
      <c r="C674" s="127"/>
      <c r="H674" s="8"/>
      <c r="I674" s="8"/>
    </row>
    <row r="675">
      <c r="B675" s="127"/>
      <c r="C675" s="127"/>
      <c r="H675" s="8"/>
      <c r="I675" s="8"/>
    </row>
    <row r="676">
      <c r="B676" s="127"/>
      <c r="C676" s="127"/>
      <c r="H676" s="8"/>
      <c r="I676" s="8"/>
    </row>
    <row r="677">
      <c r="B677" s="127"/>
      <c r="C677" s="127"/>
      <c r="H677" s="8"/>
      <c r="I677" s="8"/>
    </row>
    <row r="678">
      <c r="B678" s="127"/>
      <c r="C678" s="127"/>
      <c r="H678" s="8"/>
      <c r="I678" s="8"/>
    </row>
    <row r="679">
      <c r="B679" s="127"/>
      <c r="C679" s="127"/>
      <c r="H679" s="8"/>
      <c r="I679" s="8"/>
    </row>
    <row r="680">
      <c r="B680" s="127"/>
      <c r="C680" s="127"/>
      <c r="H680" s="8"/>
      <c r="I680" s="8"/>
    </row>
    <row r="681">
      <c r="B681" s="127"/>
      <c r="C681" s="127"/>
      <c r="H681" s="8"/>
      <c r="I681" s="8"/>
    </row>
    <row r="682">
      <c r="B682" s="127"/>
      <c r="C682" s="127"/>
      <c r="H682" s="8"/>
      <c r="I682" s="8"/>
    </row>
    <row r="683">
      <c r="B683" s="127"/>
      <c r="C683" s="127"/>
      <c r="H683" s="8"/>
      <c r="I683" s="8"/>
    </row>
    <row r="684">
      <c r="B684" s="127"/>
      <c r="C684" s="127"/>
      <c r="H684" s="8"/>
      <c r="I684" s="8"/>
    </row>
    <row r="685">
      <c r="B685" s="127"/>
      <c r="C685" s="127"/>
      <c r="H685" s="8"/>
      <c r="I685" s="8"/>
    </row>
    <row r="686">
      <c r="B686" s="127"/>
      <c r="C686" s="127"/>
      <c r="H686" s="8"/>
      <c r="I686" s="8"/>
    </row>
    <row r="687">
      <c r="B687" s="127"/>
      <c r="C687" s="127"/>
      <c r="H687" s="8"/>
      <c r="I687" s="8"/>
    </row>
    <row r="688">
      <c r="B688" s="127"/>
      <c r="C688" s="127"/>
      <c r="H688" s="8"/>
      <c r="I688" s="8"/>
    </row>
    <row r="689">
      <c r="B689" s="127"/>
      <c r="C689" s="127"/>
      <c r="H689" s="8"/>
      <c r="I689" s="8"/>
    </row>
    <row r="690">
      <c r="B690" s="127"/>
      <c r="C690" s="127"/>
      <c r="H690" s="8"/>
      <c r="I690" s="8"/>
    </row>
    <row r="691">
      <c r="B691" s="127"/>
      <c r="C691" s="127"/>
      <c r="H691" s="8"/>
      <c r="I691" s="8"/>
    </row>
    <row r="692">
      <c r="B692" s="127"/>
      <c r="C692" s="127"/>
      <c r="H692" s="8"/>
      <c r="I692" s="8"/>
    </row>
    <row r="693">
      <c r="B693" s="127"/>
      <c r="C693" s="127"/>
      <c r="H693" s="8"/>
      <c r="I693" s="8"/>
    </row>
    <row r="694">
      <c r="B694" s="127"/>
      <c r="C694" s="127"/>
      <c r="H694" s="8"/>
      <c r="I694" s="8"/>
    </row>
    <row r="695">
      <c r="B695" s="127"/>
      <c r="C695" s="127"/>
      <c r="H695" s="8"/>
      <c r="I695" s="8"/>
    </row>
    <row r="696">
      <c r="B696" s="127"/>
      <c r="C696" s="127"/>
      <c r="H696" s="8"/>
      <c r="I696" s="8"/>
    </row>
    <row r="697">
      <c r="B697" s="127"/>
      <c r="C697" s="127"/>
      <c r="H697" s="8"/>
      <c r="I697" s="8"/>
    </row>
    <row r="698">
      <c r="B698" s="127"/>
      <c r="C698" s="127"/>
      <c r="H698" s="8"/>
      <c r="I698" s="8"/>
    </row>
    <row r="699">
      <c r="B699" s="127"/>
      <c r="C699" s="127"/>
      <c r="H699" s="8"/>
      <c r="I699" s="8"/>
    </row>
    <row r="700">
      <c r="B700" s="127"/>
      <c r="C700" s="127"/>
      <c r="H700" s="8"/>
      <c r="I700" s="8"/>
    </row>
    <row r="701">
      <c r="B701" s="127"/>
      <c r="C701" s="127"/>
      <c r="H701" s="8"/>
      <c r="I701" s="8"/>
    </row>
    <row r="702">
      <c r="B702" s="127"/>
      <c r="C702" s="127"/>
      <c r="H702" s="8"/>
      <c r="I702" s="8"/>
    </row>
    <row r="703">
      <c r="B703" s="127"/>
      <c r="C703" s="127"/>
      <c r="H703" s="8"/>
      <c r="I703" s="8"/>
    </row>
    <row r="704">
      <c r="B704" s="127"/>
      <c r="C704" s="127"/>
      <c r="H704" s="8"/>
      <c r="I704" s="8"/>
    </row>
    <row r="705">
      <c r="B705" s="127"/>
      <c r="C705" s="127"/>
      <c r="H705" s="8"/>
      <c r="I705" s="8"/>
    </row>
    <row r="706">
      <c r="B706" s="127"/>
      <c r="C706" s="127"/>
      <c r="H706" s="8"/>
      <c r="I706" s="8"/>
    </row>
    <row r="707">
      <c r="B707" s="127"/>
      <c r="C707" s="127"/>
      <c r="H707" s="8"/>
      <c r="I707" s="8"/>
    </row>
    <row r="708">
      <c r="B708" s="127"/>
      <c r="C708" s="127"/>
      <c r="H708" s="8"/>
      <c r="I708" s="8"/>
    </row>
    <row r="709">
      <c r="B709" s="127"/>
      <c r="C709" s="127"/>
      <c r="H709" s="8"/>
      <c r="I709" s="8"/>
    </row>
    <row r="710">
      <c r="B710" s="127"/>
      <c r="C710" s="127"/>
      <c r="H710" s="8"/>
      <c r="I710" s="8"/>
    </row>
    <row r="711">
      <c r="B711" s="127"/>
      <c r="C711" s="127"/>
      <c r="H711" s="8"/>
      <c r="I711" s="8"/>
    </row>
    <row r="712">
      <c r="B712" s="127"/>
      <c r="C712" s="127"/>
      <c r="H712" s="8"/>
      <c r="I712" s="8"/>
    </row>
    <row r="713">
      <c r="B713" s="127"/>
      <c r="C713" s="127"/>
      <c r="H713" s="8"/>
      <c r="I713" s="8"/>
    </row>
    <row r="714">
      <c r="B714" s="127"/>
      <c r="C714" s="127"/>
      <c r="H714" s="8"/>
      <c r="I714" s="8"/>
    </row>
    <row r="715">
      <c r="B715" s="127"/>
      <c r="C715" s="127"/>
      <c r="H715" s="8"/>
      <c r="I715" s="8"/>
    </row>
    <row r="716">
      <c r="B716" s="127"/>
      <c r="C716" s="127"/>
      <c r="H716" s="8"/>
      <c r="I716" s="8"/>
    </row>
    <row r="717">
      <c r="B717" s="127"/>
      <c r="C717" s="127"/>
      <c r="H717" s="8"/>
      <c r="I717" s="8"/>
    </row>
    <row r="718">
      <c r="B718" s="127"/>
      <c r="C718" s="127"/>
      <c r="H718" s="8"/>
      <c r="I718" s="8"/>
    </row>
    <row r="719">
      <c r="B719" s="127"/>
      <c r="C719" s="127"/>
      <c r="H719" s="8"/>
      <c r="I719" s="8"/>
    </row>
    <row r="720">
      <c r="B720" s="127"/>
      <c r="C720" s="127"/>
      <c r="H720" s="8"/>
      <c r="I720" s="8"/>
    </row>
    <row r="721">
      <c r="B721" s="127"/>
      <c r="C721" s="127"/>
      <c r="H721" s="8"/>
      <c r="I721" s="8"/>
    </row>
    <row r="722">
      <c r="B722" s="127"/>
      <c r="C722" s="127"/>
      <c r="H722" s="8"/>
      <c r="I722" s="8"/>
    </row>
    <row r="723">
      <c r="B723" s="127"/>
      <c r="C723" s="127"/>
      <c r="H723" s="8"/>
      <c r="I723" s="8"/>
    </row>
    <row r="724">
      <c r="B724" s="127"/>
      <c r="C724" s="127"/>
      <c r="H724" s="8"/>
      <c r="I724" s="8"/>
    </row>
    <row r="725">
      <c r="B725" s="127"/>
      <c r="C725" s="127"/>
      <c r="H725" s="8"/>
      <c r="I725" s="8"/>
    </row>
    <row r="726">
      <c r="B726" s="127"/>
      <c r="C726" s="127"/>
      <c r="H726" s="8"/>
      <c r="I726" s="8"/>
    </row>
    <row r="727">
      <c r="B727" s="127"/>
      <c r="C727" s="127"/>
      <c r="H727" s="8"/>
      <c r="I727" s="8"/>
    </row>
    <row r="728">
      <c r="B728" s="127"/>
      <c r="C728" s="127"/>
      <c r="H728" s="8"/>
      <c r="I728" s="8"/>
    </row>
    <row r="729">
      <c r="B729" s="127"/>
      <c r="C729" s="127"/>
      <c r="H729" s="8"/>
      <c r="I729" s="8"/>
    </row>
    <row r="730">
      <c r="B730" s="127"/>
      <c r="C730" s="127"/>
      <c r="H730" s="8"/>
      <c r="I730" s="8"/>
    </row>
    <row r="731">
      <c r="B731" s="127"/>
      <c r="C731" s="127"/>
      <c r="H731" s="8"/>
      <c r="I731" s="8"/>
    </row>
    <row r="732">
      <c r="B732" s="127"/>
      <c r="C732" s="127"/>
      <c r="H732" s="8"/>
      <c r="I732" s="8"/>
    </row>
    <row r="733">
      <c r="B733" s="127"/>
      <c r="C733" s="127"/>
      <c r="H733" s="8"/>
      <c r="I733" s="8"/>
    </row>
    <row r="734">
      <c r="B734" s="127"/>
      <c r="C734" s="127"/>
      <c r="H734" s="8"/>
      <c r="I734" s="8"/>
    </row>
    <row r="735">
      <c r="B735" s="127"/>
      <c r="C735" s="127"/>
      <c r="H735" s="8"/>
      <c r="I735" s="8"/>
    </row>
    <row r="736">
      <c r="B736" s="127"/>
      <c r="C736" s="127"/>
      <c r="H736" s="8"/>
      <c r="I736" s="8"/>
    </row>
    <row r="737">
      <c r="B737" s="127"/>
      <c r="C737" s="127"/>
      <c r="H737" s="8"/>
      <c r="I737" s="8"/>
    </row>
    <row r="738">
      <c r="B738" s="127"/>
      <c r="C738" s="127"/>
      <c r="H738" s="8"/>
      <c r="I738" s="8"/>
    </row>
    <row r="739">
      <c r="B739" s="127"/>
      <c r="C739" s="127"/>
      <c r="H739" s="8"/>
      <c r="I739" s="8"/>
    </row>
    <row r="740">
      <c r="B740" s="127"/>
      <c r="C740" s="127"/>
      <c r="H740" s="8"/>
      <c r="I740" s="8"/>
    </row>
    <row r="741">
      <c r="B741" s="127"/>
      <c r="C741" s="127"/>
      <c r="H741" s="8"/>
      <c r="I741" s="8"/>
    </row>
    <row r="742">
      <c r="B742" s="127"/>
      <c r="C742" s="127"/>
      <c r="H742" s="8"/>
      <c r="I742" s="8"/>
    </row>
    <row r="743">
      <c r="B743" s="127"/>
      <c r="C743" s="127"/>
      <c r="H743" s="8"/>
      <c r="I743" s="8"/>
    </row>
    <row r="744">
      <c r="B744" s="127"/>
      <c r="C744" s="127"/>
      <c r="H744" s="8"/>
      <c r="I744" s="8"/>
    </row>
    <row r="745">
      <c r="B745" s="127"/>
      <c r="C745" s="127"/>
      <c r="H745" s="8"/>
      <c r="I745" s="8"/>
    </row>
    <row r="746">
      <c r="B746" s="127"/>
      <c r="C746" s="127"/>
      <c r="H746" s="8"/>
      <c r="I746" s="8"/>
    </row>
    <row r="747">
      <c r="B747" s="127"/>
      <c r="C747" s="127"/>
      <c r="H747" s="8"/>
      <c r="I747" s="8"/>
    </row>
    <row r="748">
      <c r="B748" s="127"/>
      <c r="C748" s="127"/>
      <c r="H748" s="8"/>
      <c r="I748" s="8"/>
    </row>
    <row r="749">
      <c r="B749" s="127"/>
      <c r="C749" s="127"/>
      <c r="H749" s="8"/>
      <c r="I749" s="8"/>
    </row>
    <row r="750">
      <c r="B750" s="127"/>
      <c r="C750" s="127"/>
      <c r="H750" s="8"/>
      <c r="I750" s="8"/>
    </row>
    <row r="751">
      <c r="B751" s="127"/>
      <c r="C751" s="127"/>
      <c r="H751" s="8"/>
      <c r="I751" s="8"/>
    </row>
    <row r="752">
      <c r="B752" s="127"/>
      <c r="C752" s="127"/>
      <c r="H752" s="8"/>
      <c r="I752" s="8"/>
    </row>
    <row r="753">
      <c r="B753" s="127"/>
      <c r="C753" s="127"/>
      <c r="H753" s="8"/>
      <c r="I753" s="8"/>
    </row>
    <row r="754">
      <c r="B754" s="127"/>
      <c r="C754" s="127"/>
      <c r="H754" s="8"/>
      <c r="I754" s="8"/>
    </row>
    <row r="755">
      <c r="B755" s="127"/>
      <c r="C755" s="127"/>
      <c r="H755" s="8"/>
      <c r="I755" s="8"/>
    </row>
    <row r="756">
      <c r="B756" s="127"/>
      <c r="C756" s="127"/>
      <c r="H756" s="8"/>
      <c r="I756" s="8"/>
    </row>
    <row r="757">
      <c r="B757" s="127"/>
      <c r="C757" s="127"/>
      <c r="H757" s="8"/>
      <c r="I757" s="8"/>
    </row>
    <row r="758">
      <c r="B758" s="127"/>
      <c r="C758" s="127"/>
      <c r="H758" s="8"/>
      <c r="I758" s="8"/>
    </row>
    <row r="759">
      <c r="B759" s="127"/>
      <c r="C759" s="127"/>
      <c r="H759" s="8"/>
      <c r="I759" s="8"/>
    </row>
    <row r="760">
      <c r="B760" s="127"/>
      <c r="C760" s="127"/>
      <c r="H760" s="8"/>
      <c r="I760" s="8"/>
    </row>
    <row r="761">
      <c r="B761" s="127"/>
      <c r="C761" s="127"/>
      <c r="H761" s="8"/>
      <c r="I761" s="8"/>
    </row>
    <row r="762">
      <c r="B762" s="127"/>
      <c r="C762" s="127"/>
      <c r="H762" s="8"/>
      <c r="I762" s="8"/>
    </row>
    <row r="763">
      <c r="B763" s="127"/>
      <c r="C763" s="127"/>
      <c r="H763" s="8"/>
      <c r="I763" s="8"/>
    </row>
    <row r="764">
      <c r="B764" s="127"/>
      <c r="C764" s="127"/>
      <c r="H764" s="8"/>
      <c r="I764" s="8"/>
    </row>
    <row r="765">
      <c r="B765" s="127"/>
      <c r="C765" s="127"/>
      <c r="H765" s="8"/>
      <c r="I765" s="8"/>
    </row>
    <row r="766">
      <c r="B766" s="127"/>
      <c r="C766" s="127"/>
      <c r="H766" s="8"/>
      <c r="I766" s="8"/>
    </row>
    <row r="767">
      <c r="B767" s="127"/>
      <c r="C767" s="127"/>
      <c r="H767" s="8"/>
      <c r="I767" s="8"/>
    </row>
    <row r="768">
      <c r="B768" s="127"/>
      <c r="C768" s="127"/>
      <c r="H768" s="8"/>
      <c r="I768" s="8"/>
    </row>
    <row r="769">
      <c r="B769" s="127"/>
      <c r="C769" s="127"/>
      <c r="H769" s="8"/>
      <c r="I769" s="8"/>
    </row>
    <row r="770">
      <c r="B770" s="127"/>
      <c r="C770" s="127"/>
      <c r="H770" s="8"/>
      <c r="I770" s="8"/>
    </row>
    <row r="771">
      <c r="B771" s="127"/>
      <c r="C771" s="127"/>
      <c r="H771" s="8"/>
      <c r="I771" s="8"/>
    </row>
    <row r="772">
      <c r="B772" s="127"/>
      <c r="C772" s="127"/>
      <c r="H772" s="8"/>
      <c r="I772" s="8"/>
    </row>
    <row r="773">
      <c r="B773" s="127"/>
      <c r="C773" s="127"/>
      <c r="H773" s="8"/>
      <c r="I773" s="8"/>
    </row>
    <row r="774">
      <c r="B774" s="127"/>
      <c r="C774" s="127"/>
      <c r="H774" s="8"/>
      <c r="I774" s="8"/>
    </row>
    <row r="775">
      <c r="B775" s="127"/>
      <c r="C775" s="127"/>
      <c r="H775" s="8"/>
      <c r="I775" s="8"/>
    </row>
    <row r="776">
      <c r="B776" s="127"/>
      <c r="C776" s="127"/>
      <c r="H776" s="8"/>
      <c r="I776" s="8"/>
    </row>
    <row r="777">
      <c r="B777" s="127"/>
      <c r="C777" s="127"/>
      <c r="H777" s="8"/>
      <c r="I777" s="8"/>
    </row>
    <row r="778">
      <c r="B778" s="127"/>
      <c r="C778" s="127"/>
      <c r="H778" s="8"/>
      <c r="I778" s="8"/>
    </row>
    <row r="779">
      <c r="B779" s="127"/>
      <c r="C779" s="127"/>
      <c r="H779" s="8"/>
      <c r="I779" s="8"/>
    </row>
    <row r="780">
      <c r="B780" s="127"/>
      <c r="C780" s="127"/>
      <c r="H780" s="8"/>
      <c r="I780" s="8"/>
    </row>
    <row r="781">
      <c r="B781" s="127"/>
      <c r="C781" s="127"/>
      <c r="H781" s="8"/>
      <c r="I781" s="8"/>
    </row>
    <row r="782">
      <c r="B782" s="127"/>
      <c r="C782" s="127"/>
      <c r="H782" s="8"/>
      <c r="I782" s="8"/>
    </row>
    <row r="783">
      <c r="B783" s="127"/>
      <c r="C783" s="127"/>
      <c r="H783" s="8"/>
      <c r="I783" s="8"/>
    </row>
    <row r="784">
      <c r="B784" s="127"/>
      <c r="C784" s="127"/>
      <c r="H784" s="8"/>
      <c r="I784" s="8"/>
    </row>
    <row r="785">
      <c r="B785" s="127"/>
      <c r="C785" s="127"/>
      <c r="H785" s="8"/>
      <c r="I785" s="8"/>
    </row>
    <row r="786">
      <c r="B786" s="127"/>
      <c r="C786" s="127"/>
      <c r="H786" s="8"/>
      <c r="I786" s="8"/>
    </row>
    <row r="787">
      <c r="B787" s="127"/>
      <c r="C787" s="127"/>
      <c r="H787" s="8"/>
      <c r="I787" s="8"/>
    </row>
    <row r="788">
      <c r="B788" s="127"/>
      <c r="C788" s="127"/>
      <c r="H788" s="8"/>
      <c r="I788" s="8"/>
    </row>
    <row r="789">
      <c r="B789" s="127"/>
      <c r="C789" s="127"/>
      <c r="H789" s="8"/>
      <c r="I789" s="8"/>
    </row>
    <row r="790">
      <c r="B790" s="127"/>
      <c r="C790" s="127"/>
      <c r="H790" s="8"/>
      <c r="I790" s="8"/>
    </row>
    <row r="791">
      <c r="B791" s="127"/>
      <c r="C791" s="127"/>
      <c r="H791" s="8"/>
      <c r="I791" s="8"/>
    </row>
    <row r="792">
      <c r="B792" s="127"/>
      <c r="C792" s="127"/>
      <c r="H792" s="8"/>
      <c r="I792" s="8"/>
    </row>
    <row r="793">
      <c r="B793" s="127"/>
      <c r="C793" s="127"/>
      <c r="H793" s="8"/>
      <c r="I793" s="8"/>
    </row>
    <row r="794">
      <c r="B794" s="127"/>
      <c r="C794" s="127"/>
      <c r="H794" s="8"/>
      <c r="I794" s="8"/>
    </row>
    <row r="795">
      <c r="B795" s="127"/>
      <c r="C795" s="127"/>
      <c r="H795" s="8"/>
      <c r="I795" s="8"/>
    </row>
    <row r="796">
      <c r="B796" s="127"/>
      <c r="C796" s="127"/>
      <c r="H796" s="8"/>
      <c r="I796" s="8"/>
    </row>
    <row r="797">
      <c r="B797" s="127"/>
      <c r="C797" s="127"/>
      <c r="H797" s="8"/>
      <c r="I797" s="8"/>
    </row>
    <row r="798">
      <c r="B798" s="127"/>
      <c r="C798" s="127"/>
      <c r="H798" s="8"/>
      <c r="I798" s="8"/>
    </row>
    <row r="799">
      <c r="B799" s="127"/>
      <c r="C799" s="127"/>
      <c r="H799" s="8"/>
      <c r="I799" s="8"/>
    </row>
    <row r="800">
      <c r="B800" s="127"/>
      <c r="C800" s="127"/>
      <c r="H800" s="8"/>
      <c r="I800" s="8"/>
    </row>
    <row r="801">
      <c r="B801" s="127"/>
      <c r="C801" s="127"/>
      <c r="H801" s="8"/>
      <c r="I801" s="8"/>
    </row>
    <row r="802">
      <c r="B802" s="127"/>
      <c r="C802" s="127"/>
      <c r="H802" s="8"/>
      <c r="I802" s="8"/>
    </row>
    <row r="803">
      <c r="B803" s="127"/>
      <c r="C803" s="127"/>
      <c r="H803" s="8"/>
      <c r="I803" s="8"/>
    </row>
    <row r="804">
      <c r="B804" s="127"/>
      <c r="C804" s="127"/>
      <c r="H804" s="8"/>
      <c r="I804" s="8"/>
    </row>
    <row r="805">
      <c r="B805" s="127"/>
      <c r="C805" s="127"/>
      <c r="H805" s="8"/>
      <c r="I805" s="8"/>
    </row>
    <row r="806">
      <c r="B806" s="127"/>
      <c r="C806" s="127"/>
      <c r="H806" s="8"/>
      <c r="I806" s="8"/>
    </row>
    <row r="807">
      <c r="B807" s="127"/>
      <c r="C807" s="127"/>
      <c r="H807" s="8"/>
      <c r="I807" s="8"/>
    </row>
    <row r="808">
      <c r="B808" s="127"/>
      <c r="C808" s="127"/>
      <c r="H808" s="8"/>
      <c r="I808" s="8"/>
    </row>
    <row r="809">
      <c r="B809" s="127"/>
      <c r="C809" s="127"/>
      <c r="H809" s="8"/>
      <c r="I809" s="8"/>
    </row>
    <row r="810">
      <c r="B810" s="127"/>
      <c r="C810" s="127"/>
      <c r="H810" s="8"/>
      <c r="I810" s="8"/>
    </row>
    <row r="811">
      <c r="B811" s="127"/>
      <c r="C811" s="127"/>
      <c r="H811" s="8"/>
      <c r="I811" s="8"/>
    </row>
    <row r="812">
      <c r="B812" s="127"/>
      <c r="C812" s="127"/>
      <c r="H812" s="8"/>
      <c r="I812" s="8"/>
    </row>
    <row r="813">
      <c r="B813" s="127"/>
      <c r="C813" s="127"/>
      <c r="H813" s="8"/>
      <c r="I813" s="8"/>
    </row>
    <row r="814">
      <c r="B814" s="127"/>
      <c r="C814" s="127"/>
      <c r="H814" s="8"/>
      <c r="I814" s="8"/>
    </row>
    <row r="815">
      <c r="B815" s="127"/>
      <c r="C815" s="127"/>
      <c r="H815" s="8"/>
      <c r="I815" s="8"/>
    </row>
    <row r="816">
      <c r="B816" s="127"/>
      <c r="C816" s="127"/>
      <c r="H816" s="8"/>
      <c r="I816" s="8"/>
    </row>
    <row r="817">
      <c r="B817" s="127"/>
      <c r="C817" s="127"/>
      <c r="H817" s="8"/>
      <c r="I817" s="8"/>
    </row>
    <row r="818">
      <c r="B818" s="127"/>
      <c r="C818" s="127"/>
      <c r="H818" s="8"/>
      <c r="I818" s="8"/>
    </row>
    <row r="819">
      <c r="B819" s="127"/>
      <c r="C819" s="127"/>
      <c r="H819" s="8"/>
      <c r="I819" s="8"/>
    </row>
    <row r="820">
      <c r="B820" s="127"/>
      <c r="C820" s="127"/>
      <c r="H820" s="8"/>
      <c r="I820" s="8"/>
    </row>
    <row r="821">
      <c r="B821" s="127"/>
      <c r="C821" s="127"/>
      <c r="H821" s="8"/>
      <c r="I821" s="8"/>
    </row>
    <row r="822">
      <c r="B822" s="127"/>
      <c r="C822" s="127"/>
      <c r="H822" s="8"/>
      <c r="I822" s="8"/>
    </row>
    <row r="823">
      <c r="B823" s="127"/>
      <c r="C823" s="127"/>
      <c r="H823" s="8"/>
      <c r="I823" s="8"/>
    </row>
    <row r="824">
      <c r="B824" s="127"/>
      <c r="C824" s="127"/>
      <c r="H824" s="8"/>
      <c r="I824" s="8"/>
    </row>
    <row r="825">
      <c r="B825" s="127"/>
      <c r="C825" s="127"/>
      <c r="H825" s="8"/>
      <c r="I825" s="8"/>
    </row>
    <row r="826">
      <c r="B826" s="127"/>
      <c r="C826" s="127"/>
      <c r="H826" s="8"/>
      <c r="I826" s="8"/>
    </row>
    <row r="827">
      <c r="B827" s="127"/>
      <c r="C827" s="127"/>
      <c r="H827" s="8"/>
      <c r="I827" s="8"/>
    </row>
    <row r="828">
      <c r="B828" s="127"/>
      <c r="C828" s="127"/>
      <c r="H828" s="8"/>
      <c r="I828" s="8"/>
    </row>
    <row r="829">
      <c r="B829" s="127"/>
      <c r="C829" s="127"/>
      <c r="H829" s="8"/>
      <c r="I829" s="8"/>
    </row>
    <row r="830">
      <c r="B830" s="127"/>
      <c r="C830" s="127"/>
      <c r="H830" s="8"/>
      <c r="I830" s="8"/>
    </row>
    <row r="831">
      <c r="B831" s="127"/>
      <c r="C831" s="127"/>
      <c r="H831" s="8"/>
      <c r="I831" s="8"/>
    </row>
    <row r="832">
      <c r="B832" s="127"/>
      <c r="C832" s="127"/>
      <c r="H832" s="8"/>
      <c r="I832" s="8"/>
    </row>
    <row r="833">
      <c r="B833" s="127"/>
      <c r="C833" s="127"/>
      <c r="H833" s="8"/>
      <c r="I833" s="8"/>
    </row>
    <row r="834">
      <c r="B834" s="127"/>
      <c r="C834" s="127"/>
      <c r="H834" s="8"/>
      <c r="I834" s="8"/>
    </row>
    <row r="835">
      <c r="B835" s="127"/>
      <c r="C835" s="127"/>
      <c r="H835" s="8"/>
      <c r="I835" s="8"/>
    </row>
    <row r="836">
      <c r="B836" s="127"/>
      <c r="C836" s="127"/>
      <c r="H836" s="8"/>
      <c r="I836" s="8"/>
    </row>
    <row r="837">
      <c r="B837" s="127"/>
      <c r="C837" s="127"/>
      <c r="H837" s="8"/>
      <c r="I837" s="8"/>
    </row>
    <row r="838">
      <c r="B838" s="127"/>
      <c r="C838" s="127"/>
      <c r="H838" s="8"/>
      <c r="I838" s="8"/>
    </row>
    <row r="839">
      <c r="B839" s="127"/>
      <c r="C839" s="127"/>
      <c r="H839" s="8"/>
      <c r="I839" s="8"/>
    </row>
    <row r="840">
      <c r="B840" s="127"/>
      <c r="C840" s="127"/>
      <c r="H840" s="8"/>
      <c r="I840" s="8"/>
    </row>
    <row r="841">
      <c r="B841" s="127"/>
      <c r="C841" s="127"/>
      <c r="H841" s="8"/>
      <c r="I841" s="8"/>
    </row>
    <row r="842">
      <c r="B842" s="127"/>
      <c r="C842" s="127"/>
      <c r="H842" s="8"/>
      <c r="I842" s="8"/>
    </row>
    <row r="843">
      <c r="B843" s="127"/>
      <c r="C843" s="127"/>
      <c r="H843" s="8"/>
      <c r="I843" s="8"/>
    </row>
    <row r="844">
      <c r="B844" s="127"/>
      <c r="C844" s="127"/>
      <c r="H844" s="8"/>
      <c r="I844" s="8"/>
    </row>
    <row r="845">
      <c r="B845" s="127"/>
      <c r="C845" s="127"/>
      <c r="H845" s="8"/>
      <c r="I845" s="8"/>
    </row>
    <row r="846">
      <c r="B846" s="127"/>
      <c r="C846" s="127"/>
      <c r="H846" s="8"/>
      <c r="I846" s="8"/>
    </row>
    <row r="847">
      <c r="B847" s="127"/>
      <c r="C847" s="127"/>
      <c r="H847" s="8"/>
      <c r="I847" s="8"/>
    </row>
    <row r="848">
      <c r="B848" s="127"/>
      <c r="C848" s="127"/>
      <c r="H848" s="8"/>
      <c r="I848" s="8"/>
    </row>
    <row r="849">
      <c r="B849" s="127"/>
      <c r="C849" s="127"/>
      <c r="H849" s="8"/>
      <c r="I849" s="8"/>
    </row>
    <row r="850">
      <c r="B850" s="127"/>
      <c r="C850" s="127"/>
      <c r="H850" s="8"/>
      <c r="I850" s="8"/>
    </row>
    <row r="851">
      <c r="B851" s="127"/>
      <c r="C851" s="127"/>
      <c r="H851" s="8"/>
      <c r="I851" s="8"/>
    </row>
    <row r="852">
      <c r="B852" s="127"/>
      <c r="C852" s="127"/>
      <c r="H852" s="8"/>
      <c r="I852" s="8"/>
    </row>
    <row r="853">
      <c r="B853" s="127"/>
      <c r="C853" s="127"/>
      <c r="H853" s="8"/>
      <c r="I853" s="8"/>
    </row>
    <row r="854">
      <c r="B854" s="127"/>
      <c r="C854" s="127"/>
      <c r="H854" s="8"/>
      <c r="I854" s="8"/>
    </row>
    <row r="855">
      <c r="B855" s="127"/>
      <c r="C855" s="127"/>
      <c r="H855" s="8"/>
      <c r="I855" s="8"/>
    </row>
    <row r="856">
      <c r="B856" s="127"/>
      <c r="C856" s="127"/>
      <c r="H856" s="8"/>
      <c r="I856" s="8"/>
    </row>
    <row r="857">
      <c r="B857" s="127"/>
      <c r="C857" s="127"/>
      <c r="H857" s="8"/>
      <c r="I857" s="8"/>
    </row>
    <row r="858">
      <c r="B858" s="127"/>
      <c r="C858" s="127"/>
      <c r="H858" s="8"/>
      <c r="I858" s="8"/>
    </row>
    <row r="859">
      <c r="B859" s="127"/>
      <c r="C859" s="127"/>
      <c r="H859" s="8"/>
      <c r="I859" s="8"/>
    </row>
    <row r="860">
      <c r="B860" s="127"/>
      <c r="C860" s="127"/>
      <c r="H860" s="8"/>
      <c r="I860" s="8"/>
    </row>
    <row r="861">
      <c r="B861" s="127"/>
      <c r="C861" s="127"/>
      <c r="H861" s="8"/>
      <c r="I861" s="8"/>
    </row>
    <row r="862">
      <c r="B862" s="127"/>
      <c r="C862" s="127"/>
      <c r="H862" s="8"/>
      <c r="I862" s="8"/>
    </row>
    <row r="863">
      <c r="B863" s="127"/>
      <c r="C863" s="127"/>
      <c r="H863" s="8"/>
      <c r="I863" s="8"/>
    </row>
    <row r="864">
      <c r="B864" s="127"/>
      <c r="C864" s="127"/>
      <c r="H864" s="8"/>
      <c r="I864" s="8"/>
    </row>
    <row r="865">
      <c r="B865" s="127"/>
      <c r="C865" s="127"/>
      <c r="H865" s="8"/>
      <c r="I865" s="8"/>
    </row>
    <row r="866">
      <c r="B866" s="127"/>
      <c r="C866" s="127"/>
      <c r="H866" s="8"/>
      <c r="I866" s="8"/>
    </row>
    <row r="867">
      <c r="B867" s="127"/>
      <c r="C867" s="127"/>
      <c r="H867" s="8"/>
      <c r="I867" s="8"/>
    </row>
    <row r="868">
      <c r="B868" s="127"/>
      <c r="C868" s="127"/>
      <c r="H868" s="8"/>
      <c r="I868" s="8"/>
    </row>
    <row r="869">
      <c r="B869" s="127"/>
      <c r="C869" s="127"/>
      <c r="H869" s="8"/>
      <c r="I869" s="8"/>
    </row>
    <row r="870">
      <c r="B870" s="127"/>
      <c r="C870" s="127"/>
      <c r="H870" s="8"/>
      <c r="I870" s="8"/>
    </row>
    <row r="871">
      <c r="B871" s="127"/>
      <c r="C871" s="127"/>
      <c r="H871" s="8"/>
      <c r="I871" s="8"/>
    </row>
    <row r="872">
      <c r="B872" s="127"/>
      <c r="C872" s="127"/>
      <c r="H872" s="8"/>
      <c r="I872" s="8"/>
    </row>
    <row r="873">
      <c r="B873" s="127"/>
      <c r="C873" s="127"/>
      <c r="H873" s="8"/>
      <c r="I873" s="8"/>
    </row>
    <row r="874">
      <c r="B874" s="127"/>
      <c r="C874" s="127"/>
      <c r="H874" s="8"/>
      <c r="I874" s="8"/>
    </row>
    <row r="875">
      <c r="B875" s="127"/>
      <c r="C875" s="127"/>
      <c r="H875" s="8"/>
      <c r="I875" s="8"/>
    </row>
    <row r="876">
      <c r="B876" s="127"/>
      <c r="C876" s="127"/>
      <c r="H876" s="8"/>
      <c r="I876" s="8"/>
    </row>
    <row r="877">
      <c r="B877" s="127"/>
      <c r="C877" s="127"/>
      <c r="H877" s="8"/>
      <c r="I877" s="8"/>
    </row>
    <row r="878">
      <c r="B878" s="127"/>
      <c r="C878" s="127"/>
      <c r="H878" s="8"/>
      <c r="I878" s="8"/>
    </row>
    <row r="879">
      <c r="B879" s="127"/>
      <c r="C879" s="127"/>
      <c r="H879" s="8"/>
      <c r="I879" s="8"/>
    </row>
    <row r="880">
      <c r="B880" s="127"/>
      <c r="C880" s="127"/>
      <c r="H880" s="8"/>
      <c r="I880" s="8"/>
    </row>
    <row r="881">
      <c r="B881" s="127"/>
      <c r="C881" s="127"/>
      <c r="H881" s="8"/>
      <c r="I881" s="8"/>
    </row>
    <row r="882">
      <c r="B882" s="127"/>
      <c r="C882" s="127"/>
      <c r="H882" s="8"/>
      <c r="I882" s="8"/>
    </row>
    <row r="883">
      <c r="B883" s="127"/>
      <c r="C883" s="127"/>
      <c r="H883" s="8"/>
      <c r="I883" s="8"/>
    </row>
    <row r="884">
      <c r="B884" s="127"/>
      <c r="C884" s="127"/>
      <c r="H884" s="8"/>
      <c r="I884" s="8"/>
    </row>
    <row r="885">
      <c r="B885" s="127"/>
      <c r="C885" s="127"/>
      <c r="H885" s="8"/>
      <c r="I885" s="8"/>
    </row>
    <row r="886">
      <c r="B886" s="127"/>
      <c r="C886" s="127"/>
      <c r="H886" s="8"/>
      <c r="I886" s="8"/>
    </row>
    <row r="887">
      <c r="B887" s="127"/>
      <c r="C887" s="127"/>
      <c r="H887" s="8"/>
      <c r="I887" s="8"/>
    </row>
    <row r="888">
      <c r="B888" s="127"/>
      <c r="C888" s="127"/>
      <c r="H888" s="8"/>
      <c r="I888" s="8"/>
    </row>
    <row r="889">
      <c r="B889" s="127"/>
      <c r="C889" s="127"/>
      <c r="H889" s="8"/>
      <c r="I889" s="8"/>
    </row>
    <row r="890">
      <c r="B890" s="127"/>
      <c r="C890" s="127"/>
      <c r="H890" s="8"/>
      <c r="I890" s="8"/>
    </row>
    <row r="891">
      <c r="B891" s="127"/>
      <c r="C891" s="127"/>
      <c r="H891" s="8"/>
      <c r="I891" s="8"/>
    </row>
    <row r="892">
      <c r="B892" s="127"/>
      <c r="C892" s="127"/>
      <c r="H892" s="8"/>
      <c r="I892" s="8"/>
    </row>
    <row r="893">
      <c r="B893" s="127"/>
      <c r="C893" s="127"/>
      <c r="H893" s="8"/>
      <c r="I893" s="8"/>
    </row>
    <row r="894">
      <c r="B894" s="127"/>
      <c r="C894" s="127"/>
      <c r="H894" s="8"/>
      <c r="I894" s="8"/>
    </row>
    <row r="895">
      <c r="B895" s="127"/>
      <c r="C895" s="127"/>
      <c r="H895" s="8"/>
      <c r="I895" s="8"/>
    </row>
    <row r="896">
      <c r="B896" s="127"/>
      <c r="C896" s="127"/>
      <c r="H896" s="8"/>
      <c r="I896" s="8"/>
    </row>
    <row r="897">
      <c r="B897" s="127"/>
      <c r="C897" s="127"/>
      <c r="H897" s="8"/>
      <c r="I897" s="8"/>
    </row>
    <row r="898">
      <c r="B898" s="127"/>
      <c r="C898" s="127"/>
      <c r="H898" s="8"/>
      <c r="I898" s="8"/>
    </row>
    <row r="899">
      <c r="B899" s="127"/>
      <c r="C899" s="127"/>
      <c r="H899" s="8"/>
      <c r="I899" s="8"/>
    </row>
    <row r="900">
      <c r="B900" s="127"/>
      <c r="C900" s="127"/>
      <c r="H900" s="8"/>
      <c r="I900" s="8"/>
    </row>
    <row r="901">
      <c r="B901" s="127"/>
      <c r="C901" s="127"/>
      <c r="H901" s="8"/>
      <c r="I901" s="8"/>
    </row>
    <row r="902">
      <c r="B902" s="127"/>
      <c r="C902" s="127"/>
      <c r="H902" s="8"/>
      <c r="I902" s="8"/>
    </row>
    <row r="903">
      <c r="B903" s="127"/>
      <c r="C903" s="127"/>
      <c r="H903" s="8"/>
      <c r="I903" s="8"/>
    </row>
    <row r="904">
      <c r="B904" s="127"/>
      <c r="C904" s="127"/>
      <c r="H904" s="8"/>
      <c r="I904" s="8"/>
    </row>
    <row r="905">
      <c r="B905" s="127"/>
      <c r="C905" s="127"/>
      <c r="H905" s="8"/>
      <c r="I905" s="8"/>
    </row>
    <row r="906">
      <c r="B906" s="127"/>
      <c r="C906" s="127"/>
      <c r="H906" s="8"/>
      <c r="I906" s="8"/>
    </row>
    <row r="907">
      <c r="B907" s="127"/>
      <c r="C907" s="127"/>
      <c r="H907" s="8"/>
      <c r="I907" s="8"/>
    </row>
    <row r="908">
      <c r="B908" s="127"/>
      <c r="C908" s="127"/>
      <c r="H908" s="8"/>
      <c r="I908" s="8"/>
    </row>
    <row r="909">
      <c r="B909" s="127"/>
      <c r="C909" s="127"/>
      <c r="H909" s="8"/>
      <c r="I909" s="8"/>
    </row>
    <row r="910">
      <c r="B910" s="127"/>
      <c r="C910" s="127"/>
      <c r="H910" s="8"/>
      <c r="I910" s="8"/>
    </row>
    <row r="911">
      <c r="B911" s="127"/>
      <c r="C911" s="127"/>
      <c r="H911" s="8"/>
      <c r="I911" s="8"/>
    </row>
    <row r="912">
      <c r="B912" s="127"/>
      <c r="C912" s="127"/>
      <c r="H912" s="8"/>
      <c r="I912" s="8"/>
    </row>
    <row r="913">
      <c r="B913" s="127"/>
      <c r="C913" s="127"/>
      <c r="H913" s="8"/>
      <c r="I913" s="8"/>
    </row>
    <row r="914">
      <c r="B914" s="127"/>
      <c r="C914" s="127"/>
      <c r="H914" s="8"/>
      <c r="I914" s="8"/>
    </row>
    <row r="915">
      <c r="B915" s="127"/>
      <c r="C915" s="127"/>
      <c r="H915" s="8"/>
      <c r="I915" s="8"/>
    </row>
    <row r="916">
      <c r="B916" s="127"/>
      <c r="C916" s="127"/>
      <c r="H916" s="8"/>
      <c r="I916" s="8"/>
    </row>
    <row r="917">
      <c r="B917" s="127"/>
      <c r="C917" s="127"/>
      <c r="H917" s="8"/>
      <c r="I917" s="8"/>
    </row>
    <row r="918">
      <c r="B918" s="127"/>
      <c r="C918" s="127"/>
      <c r="H918" s="8"/>
      <c r="I918" s="8"/>
    </row>
    <row r="919">
      <c r="B919" s="127"/>
      <c r="C919" s="127"/>
      <c r="H919" s="8"/>
      <c r="I919" s="8"/>
    </row>
    <row r="920">
      <c r="B920" s="127"/>
      <c r="C920" s="127"/>
      <c r="H920" s="8"/>
      <c r="I920" s="8"/>
    </row>
    <row r="921">
      <c r="B921" s="127"/>
      <c r="C921" s="127"/>
      <c r="H921" s="8"/>
      <c r="I921" s="8"/>
    </row>
    <row r="922">
      <c r="B922" s="127"/>
      <c r="C922" s="127"/>
      <c r="H922" s="8"/>
      <c r="I922" s="8"/>
    </row>
    <row r="923">
      <c r="B923" s="127"/>
      <c r="C923" s="127"/>
      <c r="H923" s="8"/>
      <c r="I923" s="8"/>
    </row>
    <row r="924">
      <c r="B924" s="127"/>
      <c r="C924" s="127"/>
      <c r="H924" s="8"/>
      <c r="I924" s="8"/>
    </row>
    <row r="925">
      <c r="B925" s="127"/>
      <c r="C925" s="127"/>
      <c r="H925" s="8"/>
      <c r="I925" s="8"/>
    </row>
    <row r="926">
      <c r="B926" s="127"/>
      <c r="C926" s="127"/>
      <c r="H926" s="8"/>
      <c r="I926" s="8"/>
    </row>
    <row r="927">
      <c r="B927" s="127"/>
      <c r="C927" s="127"/>
      <c r="H927" s="8"/>
      <c r="I927" s="8"/>
    </row>
    <row r="928">
      <c r="B928" s="127"/>
      <c r="C928" s="127"/>
      <c r="H928" s="8"/>
      <c r="I928" s="8"/>
    </row>
    <row r="929">
      <c r="B929" s="127"/>
      <c r="C929" s="127"/>
      <c r="H929" s="8"/>
      <c r="I929" s="8"/>
    </row>
    <row r="930">
      <c r="B930" s="127"/>
      <c r="C930" s="127"/>
      <c r="H930" s="8"/>
      <c r="I930" s="8"/>
    </row>
    <row r="931">
      <c r="B931" s="127"/>
      <c r="C931" s="127"/>
      <c r="H931" s="8"/>
      <c r="I931" s="8"/>
    </row>
    <row r="932">
      <c r="B932" s="127"/>
      <c r="C932" s="127"/>
      <c r="H932" s="8"/>
      <c r="I932" s="8"/>
    </row>
    <row r="933">
      <c r="B933" s="127"/>
      <c r="C933" s="127"/>
      <c r="H933" s="8"/>
      <c r="I933" s="8"/>
    </row>
    <row r="934">
      <c r="B934" s="127"/>
      <c r="C934" s="127"/>
      <c r="H934" s="8"/>
      <c r="I934" s="8"/>
    </row>
    <row r="935">
      <c r="B935" s="127"/>
      <c r="C935" s="127"/>
      <c r="H935" s="8"/>
      <c r="I935" s="8"/>
    </row>
    <row r="936">
      <c r="B936" s="127"/>
      <c r="C936" s="127"/>
      <c r="H936" s="8"/>
      <c r="I936" s="8"/>
    </row>
    <row r="937">
      <c r="B937" s="127"/>
      <c r="C937" s="127"/>
      <c r="H937" s="8"/>
      <c r="I937" s="8"/>
    </row>
    <row r="938">
      <c r="B938" s="127"/>
      <c r="C938" s="127"/>
      <c r="H938" s="8"/>
      <c r="I938" s="8"/>
    </row>
    <row r="939">
      <c r="B939" s="127"/>
      <c r="C939" s="127"/>
      <c r="H939" s="8"/>
      <c r="I939" s="8"/>
    </row>
    <row r="940">
      <c r="B940" s="127"/>
      <c r="C940" s="127"/>
      <c r="H940" s="8"/>
      <c r="I940" s="8"/>
    </row>
    <row r="941">
      <c r="B941" s="127"/>
      <c r="C941" s="127"/>
      <c r="H941" s="8"/>
      <c r="I941" s="8"/>
    </row>
    <row r="942">
      <c r="B942" s="127"/>
      <c r="C942" s="127"/>
      <c r="H942" s="8"/>
      <c r="I942" s="8"/>
    </row>
    <row r="943">
      <c r="B943" s="127"/>
      <c r="C943" s="127"/>
      <c r="H943" s="8"/>
      <c r="I943" s="8"/>
    </row>
    <row r="944">
      <c r="B944" s="127"/>
      <c r="C944" s="127"/>
      <c r="H944" s="8"/>
      <c r="I944" s="8"/>
    </row>
    <row r="945">
      <c r="B945" s="127"/>
      <c r="C945" s="127"/>
      <c r="H945" s="8"/>
      <c r="I945" s="8"/>
    </row>
    <row r="946">
      <c r="B946" s="127"/>
      <c r="C946" s="127"/>
      <c r="H946" s="8"/>
      <c r="I946" s="8"/>
    </row>
    <row r="947">
      <c r="B947" s="127"/>
      <c r="C947" s="127"/>
      <c r="H947" s="8"/>
      <c r="I947" s="8"/>
    </row>
    <row r="948">
      <c r="B948" s="127"/>
      <c r="C948" s="127"/>
      <c r="H948" s="8"/>
      <c r="I948" s="8"/>
    </row>
    <row r="949">
      <c r="B949" s="127"/>
      <c r="C949" s="127"/>
      <c r="H949" s="8"/>
      <c r="I949" s="8"/>
    </row>
    <row r="950">
      <c r="B950" s="127"/>
      <c r="C950" s="127"/>
      <c r="H950" s="8"/>
      <c r="I950" s="8"/>
    </row>
    <row r="951">
      <c r="B951" s="127"/>
      <c r="C951" s="127"/>
      <c r="H951" s="8"/>
      <c r="I951" s="8"/>
    </row>
    <row r="952">
      <c r="B952" s="127"/>
      <c r="C952" s="127"/>
      <c r="H952" s="8"/>
      <c r="I952" s="8"/>
    </row>
    <row r="953">
      <c r="B953" s="127"/>
      <c r="C953" s="127"/>
      <c r="H953" s="8"/>
      <c r="I953" s="8"/>
    </row>
    <row r="954">
      <c r="B954" s="127"/>
      <c r="C954" s="127"/>
      <c r="H954" s="8"/>
      <c r="I954" s="8"/>
    </row>
    <row r="955">
      <c r="B955" s="127"/>
      <c r="C955" s="127"/>
      <c r="H955" s="8"/>
      <c r="I955" s="8"/>
    </row>
    <row r="956">
      <c r="B956" s="127"/>
      <c r="C956" s="127"/>
      <c r="H956" s="8"/>
      <c r="I956" s="8"/>
    </row>
    <row r="957">
      <c r="B957" s="127"/>
      <c r="C957" s="127"/>
      <c r="H957" s="8"/>
      <c r="I957" s="8"/>
    </row>
    <row r="958">
      <c r="B958" s="127"/>
      <c r="C958" s="127"/>
      <c r="H958" s="8"/>
      <c r="I958" s="8"/>
    </row>
    <row r="959">
      <c r="B959" s="127"/>
      <c r="C959" s="127"/>
      <c r="H959" s="8"/>
      <c r="I959" s="8"/>
    </row>
    <row r="960">
      <c r="B960" s="127"/>
      <c r="C960" s="127"/>
      <c r="H960" s="8"/>
      <c r="I960" s="8"/>
    </row>
    <row r="961">
      <c r="B961" s="127"/>
      <c r="C961" s="127"/>
      <c r="H961" s="8"/>
      <c r="I961" s="8"/>
    </row>
    <row r="962">
      <c r="B962" s="127"/>
      <c r="C962" s="127"/>
      <c r="H962" s="8"/>
      <c r="I962" s="8"/>
    </row>
    <row r="963">
      <c r="B963" s="127"/>
      <c r="C963" s="127"/>
      <c r="H963" s="8"/>
      <c r="I963" s="8"/>
    </row>
    <row r="964">
      <c r="B964" s="127"/>
      <c r="C964" s="127"/>
      <c r="H964" s="8"/>
      <c r="I964" s="8"/>
    </row>
    <row r="965">
      <c r="B965" s="127"/>
      <c r="C965" s="127"/>
      <c r="H965" s="8"/>
      <c r="I965" s="8"/>
    </row>
    <row r="966">
      <c r="B966" s="127"/>
      <c r="C966" s="127"/>
      <c r="H966" s="8"/>
      <c r="I966" s="8"/>
    </row>
    <row r="967">
      <c r="B967" s="127"/>
      <c r="C967" s="127"/>
      <c r="H967" s="8"/>
      <c r="I967" s="8"/>
    </row>
    <row r="968">
      <c r="B968" s="127"/>
      <c r="C968" s="127"/>
      <c r="H968" s="8"/>
      <c r="I968" s="8"/>
    </row>
    <row r="969">
      <c r="B969" s="127"/>
      <c r="C969" s="127"/>
      <c r="H969" s="8"/>
      <c r="I969" s="8"/>
    </row>
    <row r="970">
      <c r="B970" s="127"/>
      <c r="C970" s="127"/>
      <c r="H970" s="8"/>
      <c r="I970" s="8"/>
    </row>
    <row r="971">
      <c r="B971" s="127"/>
      <c r="C971" s="127"/>
      <c r="H971" s="8"/>
      <c r="I971" s="8"/>
    </row>
    <row r="972">
      <c r="B972" s="127"/>
      <c r="C972" s="127"/>
      <c r="H972" s="8"/>
      <c r="I972" s="8"/>
    </row>
    <row r="973">
      <c r="B973" s="127"/>
      <c r="C973" s="127"/>
      <c r="H973" s="8"/>
      <c r="I973" s="8"/>
    </row>
    <row r="974">
      <c r="B974" s="127"/>
      <c r="C974" s="127"/>
      <c r="H974" s="8"/>
      <c r="I974" s="8"/>
    </row>
    <row r="975">
      <c r="B975" s="127"/>
      <c r="C975" s="127"/>
      <c r="H975" s="8"/>
      <c r="I975" s="8"/>
    </row>
    <row r="976">
      <c r="B976" s="127"/>
      <c r="C976" s="127"/>
      <c r="H976" s="8"/>
      <c r="I976" s="8"/>
    </row>
    <row r="977">
      <c r="B977" s="127"/>
      <c r="C977" s="127"/>
      <c r="H977" s="8"/>
      <c r="I977" s="8"/>
    </row>
    <row r="978">
      <c r="B978" s="127"/>
      <c r="C978" s="127"/>
      <c r="H978" s="8"/>
      <c r="I978" s="8"/>
    </row>
    <row r="979">
      <c r="B979" s="127"/>
      <c r="C979" s="127"/>
      <c r="H979" s="8"/>
      <c r="I979" s="8"/>
    </row>
    <row r="980">
      <c r="B980" s="127"/>
      <c r="C980" s="127"/>
      <c r="H980" s="8"/>
      <c r="I980" s="8"/>
    </row>
    <row r="981">
      <c r="B981" s="127"/>
      <c r="C981" s="127"/>
      <c r="H981" s="8"/>
      <c r="I981" s="8"/>
    </row>
    <row r="982">
      <c r="B982" s="127"/>
      <c r="C982" s="127"/>
      <c r="H982" s="8"/>
      <c r="I982" s="8"/>
    </row>
    <row r="983">
      <c r="B983" s="127"/>
      <c r="C983" s="127"/>
      <c r="H983" s="8"/>
      <c r="I983" s="8"/>
    </row>
    <row r="984">
      <c r="B984" s="127"/>
      <c r="C984" s="127"/>
      <c r="H984" s="8"/>
      <c r="I984" s="8"/>
    </row>
    <row r="985">
      <c r="B985" s="127"/>
      <c r="C985" s="127"/>
      <c r="H985" s="8"/>
      <c r="I985" s="8"/>
    </row>
    <row r="986">
      <c r="B986" s="127"/>
      <c r="C986" s="127"/>
      <c r="H986" s="8"/>
      <c r="I986" s="8"/>
    </row>
    <row r="987">
      <c r="B987" s="127"/>
      <c r="C987" s="127"/>
      <c r="H987" s="8"/>
      <c r="I987" s="8"/>
    </row>
    <row r="988">
      <c r="B988" s="127"/>
      <c r="C988" s="127"/>
      <c r="H988" s="8"/>
      <c r="I988" s="8"/>
    </row>
    <row r="989">
      <c r="B989" s="127"/>
      <c r="C989" s="127"/>
      <c r="H989" s="8"/>
      <c r="I989" s="8"/>
    </row>
    <row r="990">
      <c r="B990" s="127"/>
      <c r="C990" s="127"/>
      <c r="H990" s="8"/>
      <c r="I990" s="8"/>
    </row>
    <row r="991">
      <c r="B991" s="127"/>
      <c r="C991" s="127"/>
      <c r="H991" s="8"/>
      <c r="I991" s="8"/>
    </row>
    <row r="992">
      <c r="B992" s="127"/>
      <c r="C992" s="127"/>
      <c r="H992" s="8"/>
      <c r="I992" s="8"/>
    </row>
    <row r="993">
      <c r="B993" s="127"/>
      <c r="C993" s="127"/>
      <c r="H993" s="8"/>
      <c r="I993" s="8"/>
    </row>
    <row r="994">
      <c r="B994" s="127"/>
      <c r="C994" s="127"/>
      <c r="H994" s="8"/>
      <c r="I994" s="8"/>
    </row>
    <row r="995">
      <c r="B995" s="127"/>
      <c r="C995" s="127"/>
      <c r="H995" s="8"/>
      <c r="I995" s="8"/>
    </row>
    <row r="996">
      <c r="B996" s="127"/>
      <c r="C996" s="127"/>
      <c r="H996" s="8"/>
      <c r="I996" s="8"/>
    </row>
    <row r="997">
      <c r="B997" s="127"/>
      <c r="C997" s="127"/>
      <c r="H997" s="8"/>
      <c r="I997" s="8"/>
    </row>
    <row r="998">
      <c r="B998" s="127"/>
      <c r="C998" s="127"/>
      <c r="H998" s="8"/>
      <c r="I998" s="8"/>
    </row>
    <row r="999">
      <c r="B999" s="127"/>
      <c r="C999" s="127"/>
      <c r="H999" s="8"/>
      <c r="I999" s="8"/>
    </row>
    <row r="1000">
      <c r="B1000" s="127"/>
      <c r="C1000" s="127"/>
      <c r="H1000" s="8"/>
      <c r="I1000" s="8"/>
    </row>
    <row r="1001">
      <c r="B1001" s="127"/>
      <c r="C1001" s="127"/>
      <c r="H1001" s="8"/>
      <c r="I1001" s="8"/>
    </row>
    <row r="1002">
      <c r="B1002" s="127"/>
      <c r="C1002" s="127"/>
      <c r="H1002" s="8"/>
      <c r="I1002" s="8"/>
    </row>
    <row r="1003">
      <c r="B1003" s="127"/>
      <c r="C1003" s="127"/>
      <c r="H1003" s="8"/>
      <c r="I1003" s="8"/>
    </row>
    <row r="1004">
      <c r="B1004" s="127"/>
      <c r="C1004" s="127"/>
      <c r="H1004" s="8"/>
      <c r="I1004" s="8"/>
    </row>
    <row r="1005">
      <c r="B1005" s="127"/>
      <c r="C1005" s="127"/>
      <c r="H1005" s="8"/>
      <c r="I1005" s="8"/>
    </row>
    <row r="1006">
      <c r="B1006" s="127"/>
      <c r="C1006" s="127"/>
      <c r="H1006" s="8"/>
      <c r="I1006" s="8"/>
    </row>
    <row r="1007">
      <c r="B1007" s="127"/>
      <c r="C1007" s="127"/>
      <c r="H1007" s="8"/>
      <c r="I1007" s="8"/>
    </row>
    <row r="1008">
      <c r="B1008" s="127"/>
      <c r="C1008" s="127"/>
      <c r="H1008" s="8"/>
      <c r="I1008" s="8"/>
    </row>
    <row r="1009">
      <c r="B1009" s="127"/>
      <c r="C1009" s="127"/>
      <c r="H1009" s="8"/>
      <c r="I1009" s="8"/>
    </row>
    <row r="1010">
      <c r="B1010" s="127"/>
      <c r="C1010" s="127"/>
      <c r="H1010" s="8"/>
      <c r="I1010" s="8"/>
    </row>
    <row r="1011">
      <c r="B1011" s="127"/>
      <c r="C1011" s="127"/>
      <c r="H1011" s="8"/>
      <c r="I1011" s="8"/>
    </row>
    <row r="1012">
      <c r="B1012" s="127"/>
      <c r="C1012" s="127"/>
      <c r="H1012" s="8"/>
      <c r="I1012" s="8"/>
    </row>
    <row r="1013">
      <c r="B1013" s="127"/>
      <c r="C1013" s="127"/>
      <c r="H1013" s="8"/>
      <c r="I1013" s="8"/>
    </row>
    <row r="1014">
      <c r="B1014" s="127"/>
      <c r="C1014" s="127"/>
      <c r="H1014" s="8"/>
      <c r="I1014" s="8"/>
    </row>
  </sheetData>
  <conditionalFormatting sqref="I42">
    <cfRule type="cellIs" dxfId="6" priority="1" operator="greaterThan">
      <formula>M42</formula>
    </cfRule>
  </conditionalFormatting>
  <conditionalFormatting sqref="M17">
    <cfRule type="notContainsBlanks" dxfId="0" priority="2">
      <formula>LEN(TRIM(M17))&gt;0</formula>
    </cfRule>
  </conditionalFormatting>
  <dataValidations>
    <dataValidation type="list" allowBlank="1" showErrorMessage="1" sqref="P2:P4 J2:J7 D2:D10 D19:D21 J19:J24 P19:P24 D32:D33">
      <formula1>'From 15.08.23'!$T$2:$T$5</formula1>
    </dataValidation>
    <dataValidation type="list" allowBlank="1" showErrorMessage="1" sqref="P10:P14">
      <formula1>'Copy of Future/cs'!$T$2:$T$5</formula1>
    </dataValidation>
    <dataValidation type="list" allowBlank="1" showErrorMessage="1" sqref="Q2:Q4 K2:K7 E2:E10 Q10:Q14 E19:E21 K19:K24 Q19:Q24 E32:E33 O33:O41">
      <formula1>'From 15.08.23'!$S$2:$S$12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5" max="5" width="17.38"/>
    <col customWidth="1" min="8" max="8" width="13.88"/>
  </cols>
  <sheetData>
    <row r="1">
      <c r="A1" s="18" t="s">
        <v>721</v>
      </c>
      <c r="C1" s="19"/>
      <c r="D1" s="19"/>
      <c r="E1" s="22"/>
      <c r="F1" s="22"/>
      <c r="J1" s="14" t="s">
        <v>644</v>
      </c>
      <c r="K1" s="14" t="s">
        <v>5</v>
      </c>
    </row>
    <row r="2">
      <c r="A2" s="24" t="s">
        <v>3</v>
      </c>
      <c r="B2" s="19" t="s">
        <v>4</v>
      </c>
      <c r="C2" s="19" t="s">
        <v>5</v>
      </c>
      <c r="D2" s="25" t="s">
        <v>6</v>
      </c>
      <c r="E2" s="29"/>
      <c r="F2" s="22"/>
      <c r="I2" s="2" t="s">
        <v>27</v>
      </c>
      <c r="J2" s="8">
        <f>B13+B28+B36+B43+B55+B70+B78</f>
        <v>135420.5</v>
      </c>
      <c r="K2" s="8">
        <f>C13+C28+C36+C43+C55+C78+C70</f>
        <v>67710.25</v>
      </c>
    </row>
    <row r="3">
      <c r="A3" s="2" t="s">
        <v>12</v>
      </c>
      <c r="B3" s="7">
        <v>7915.0</v>
      </c>
      <c r="C3" s="7">
        <f t="shared" ref="C3:C11" si="1">B3/2</f>
        <v>3957.5</v>
      </c>
      <c r="D3" s="2" t="b">
        <v>0</v>
      </c>
      <c r="E3" s="2" t="s">
        <v>723</v>
      </c>
    </row>
    <row r="4">
      <c r="A4" s="2" t="s">
        <v>15</v>
      </c>
      <c r="B4" s="7">
        <v>7915.0</v>
      </c>
      <c r="C4" s="8">
        <f t="shared" si="1"/>
        <v>3957.5</v>
      </c>
      <c r="D4" s="2" t="b">
        <v>0</v>
      </c>
      <c r="E4" s="2" t="s">
        <v>723</v>
      </c>
    </row>
    <row r="5">
      <c r="A5" s="2" t="s">
        <v>724</v>
      </c>
      <c r="B5" s="7">
        <v>2200.0</v>
      </c>
      <c r="C5" s="7">
        <f t="shared" si="1"/>
        <v>1100</v>
      </c>
      <c r="D5" s="2" t="b">
        <v>0</v>
      </c>
      <c r="E5" s="2" t="s">
        <v>723</v>
      </c>
    </row>
    <row r="6">
      <c r="A6" s="2" t="s">
        <v>648</v>
      </c>
      <c r="B6" s="7">
        <v>2200.0</v>
      </c>
      <c r="C6" s="7">
        <f t="shared" si="1"/>
        <v>1100</v>
      </c>
      <c r="D6" s="2" t="b">
        <v>0</v>
      </c>
      <c r="E6" s="2" t="s">
        <v>723</v>
      </c>
    </row>
    <row r="7">
      <c r="A7" s="2" t="s">
        <v>652</v>
      </c>
      <c r="B7" s="7">
        <v>1200.0</v>
      </c>
      <c r="C7" s="8">
        <f t="shared" si="1"/>
        <v>600</v>
      </c>
      <c r="D7" s="2" t="b">
        <v>0</v>
      </c>
      <c r="E7" s="2" t="s">
        <v>720</v>
      </c>
    </row>
    <row r="8">
      <c r="A8" s="2" t="s">
        <v>23</v>
      </c>
      <c r="B8" s="7">
        <v>1180.0</v>
      </c>
      <c r="C8" s="7">
        <f t="shared" si="1"/>
        <v>590</v>
      </c>
      <c r="D8" s="2" t="b">
        <v>0</v>
      </c>
      <c r="E8" s="2" t="s">
        <v>786</v>
      </c>
      <c r="H8" s="2"/>
    </row>
    <row r="9">
      <c r="A9" s="2" t="s">
        <v>24</v>
      </c>
      <c r="B9" s="7">
        <v>1095.0</v>
      </c>
      <c r="C9" s="7">
        <f t="shared" si="1"/>
        <v>547.5</v>
      </c>
      <c r="D9" s="2" t="b">
        <v>0</v>
      </c>
      <c r="E9" s="2" t="s">
        <v>786</v>
      </c>
      <c r="H9" s="2"/>
      <c r="I9" s="2"/>
      <c r="J9" s="2"/>
      <c r="K9" s="2"/>
    </row>
    <row r="10">
      <c r="A10" s="2" t="s">
        <v>20</v>
      </c>
      <c r="B10" s="8">
        <f>CEILING((9500)/12, 100)</f>
        <v>800</v>
      </c>
      <c r="C10" s="8">
        <f t="shared" si="1"/>
        <v>400</v>
      </c>
      <c r="D10" s="2" t="b">
        <v>1</v>
      </c>
      <c r="E10" s="2" t="s">
        <v>787</v>
      </c>
      <c r="H10" s="2"/>
      <c r="I10" s="2"/>
      <c r="J10" s="2"/>
      <c r="K10" s="2"/>
    </row>
    <row r="11">
      <c r="A11" s="2" t="s">
        <v>26</v>
      </c>
      <c r="B11" s="8">
        <f>CEILING((7500)/12, 100)</f>
        <v>700</v>
      </c>
      <c r="C11" s="8">
        <f t="shared" si="1"/>
        <v>350</v>
      </c>
      <c r="D11" s="2" t="b">
        <v>1</v>
      </c>
      <c r="E11" s="2" t="s">
        <v>787</v>
      </c>
      <c r="H11" s="2"/>
      <c r="I11" s="2"/>
      <c r="J11" s="2"/>
      <c r="K11" s="2"/>
    </row>
    <row r="12">
      <c r="A12" s="2"/>
      <c r="B12" s="7"/>
      <c r="C12" s="7"/>
      <c r="H12" s="2"/>
      <c r="I12" s="2" t="s">
        <v>91</v>
      </c>
      <c r="J12" s="2" t="s">
        <v>92</v>
      </c>
      <c r="K12" s="2" t="s">
        <v>93</v>
      </c>
    </row>
    <row r="13">
      <c r="A13" s="2" t="s">
        <v>27</v>
      </c>
      <c r="B13" s="7">
        <f t="shared" ref="B13:C13" si="2">SUM(B2:B12)</f>
        <v>25205</v>
      </c>
      <c r="C13" s="7">
        <f t="shared" si="2"/>
        <v>12602.5</v>
      </c>
      <c r="H13" s="2" t="s">
        <v>169</v>
      </c>
      <c r="I13" s="8">
        <f t="shared" ref="I13:I23" si="3">CEILING(SUMIF($E$2:$E$81, H13, $B$2:$B$81),100)</f>
        <v>1800</v>
      </c>
      <c r="J13" s="8">
        <f t="shared" ref="J13:J23" si="4">CEILING(SUMIF($E$2:$E$81, H13, $C$2:$C$81),100)</f>
        <v>900</v>
      </c>
      <c r="K13" s="2" t="s">
        <v>241</v>
      </c>
    </row>
    <row r="14">
      <c r="A14" s="2"/>
      <c r="B14" s="7"/>
      <c r="C14" s="7"/>
      <c r="H14" s="2" t="s">
        <v>183</v>
      </c>
      <c r="I14" s="8">
        <f t="shared" si="3"/>
        <v>8000</v>
      </c>
      <c r="J14" s="8">
        <f t="shared" si="4"/>
        <v>4000</v>
      </c>
      <c r="K14" s="2" t="s">
        <v>693</v>
      </c>
    </row>
    <row r="15">
      <c r="A15" s="18" t="s">
        <v>28</v>
      </c>
      <c r="C15" s="19"/>
      <c r="E15" s="22"/>
      <c r="F15" s="22"/>
      <c r="H15" s="2" t="s">
        <v>726</v>
      </c>
      <c r="I15" s="8">
        <f t="shared" si="3"/>
        <v>2000</v>
      </c>
      <c r="J15" s="8">
        <f t="shared" si="4"/>
        <v>1000</v>
      </c>
      <c r="K15" s="2" t="s">
        <v>241</v>
      </c>
    </row>
    <row r="16">
      <c r="A16" s="24" t="s">
        <v>3</v>
      </c>
      <c r="B16" s="19" t="s">
        <v>4</v>
      </c>
      <c r="C16" s="19" t="s">
        <v>5</v>
      </c>
      <c r="E16" s="29"/>
      <c r="F16" s="22"/>
      <c r="H16" s="2" t="s">
        <v>728</v>
      </c>
      <c r="I16" s="8">
        <f t="shared" si="3"/>
        <v>28800</v>
      </c>
      <c r="J16" s="8">
        <f t="shared" si="4"/>
        <v>14400</v>
      </c>
    </row>
    <row r="17">
      <c r="A17" s="42" t="s">
        <v>41</v>
      </c>
      <c r="B17" s="40">
        <f>IFERROR(__xludf.DUMMYFUNCTION("CEILING(GOOGLEFINANCE(""CURRENCY:USDMXN"")*39, 10)"),680.0)</f>
        <v>680</v>
      </c>
      <c r="C17" s="40">
        <f t="shared" ref="C17:C26" si="5">B17/2</f>
        <v>340</v>
      </c>
      <c r="D17" s="2" t="b">
        <v>0</v>
      </c>
      <c r="E17" s="52" t="s">
        <v>180</v>
      </c>
      <c r="F17" s="52"/>
      <c r="H17" s="2" t="s">
        <v>723</v>
      </c>
      <c r="I17" s="8">
        <f t="shared" si="3"/>
        <v>57800</v>
      </c>
      <c r="J17" s="8">
        <f t="shared" si="4"/>
        <v>28900</v>
      </c>
      <c r="K17" s="2" t="s">
        <v>241</v>
      </c>
    </row>
    <row r="18">
      <c r="A18" s="42" t="s">
        <v>32</v>
      </c>
      <c r="B18" s="40">
        <f>CEILING(299+69,10)</f>
        <v>370</v>
      </c>
      <c r="C18" s="40">
        <f t="shared" si="5"/>
        <v>185</v>
      </c>
      <c r="D18" s="2" t="b">
        <v>0</v>
      </c>
      <c r="E18" s="52" t="s">
        <v>180</v>
      </c>
      <c r="F18" s="42"/>
      <c r="H18" s="2" t="s">
        <v>786</v>
      </c>
      <c r="I18" s="8">
        <f t="shared" si="3"/>
        <v>5900</v>
      </c>
      <c r="J18" s="8">
        <f t="shared" si="4"/>
        <v>3000</v>
      </c>
      <c r="K18" s="2" t="s">
        <v>241</v>
      </c>
    </row>
    <row r="19">
      <c r="A19" s="42" t="s">
        <v>35</v>
      </c>
      <c r="B19" s="40">
        <f>CEILING(249,10)</f>
        <v>250</v>
      </c>
      <c r="C19" s="40">
        <f t="shared" si="5"/>
        <v>125</v>
      </c>
      <c r="D19" s="2" t="b">
        <v>0</v>
      </c>
      <c r="E19" s="52" t="s">
        <v>180</v>
      </c>
      <c r="F19" s="42"/>
      <c r="H19" s="2" t="s">
        <v>787</v>
      </c>
      <c r="I19" s="8">
        <f t="shared" si="3"/>
        <v>1800</v>
      </c>
      <c r="J19" s="8">
        <f t="shared" si="4"/>
        <v>900</v>
      </c>
      <c r="K19" s="2" t="s">
        <v>241</v>
      </c>
    </row>
    <row r="20">
      <c r="A20" s="42" t="s">
        <v>34</v>
      </c>
      <c r="B20" s="40">
        <f>CEILING(2500/12, 10)</f>
        <v>210</v>
      </c>
      <c r="C20" s="40">
        <f t="shared" si="5"/>
        <v>105</v>
      </c>
      <c r="D20" s="2" t="b">
        <v>1</v>
      </c>
      <c r="E20" s="52" t="s">
        <v>787</v>
      </c>
      <c r="F20" s="42"/>
      <c r="H20" s="2" t="s">
        <v>788</v>
      </c>
      <c r="I20" s="8">
        <f t="shared" si="3"/>
        <v>15400</v>
      </c>
      <c r="J20" s="8">
        <f t="shared" si="4"/>
        <v>7700</v>
      </c>
      <c r="K20" s="2" t="s">
        <v>241</v>
      </c>
    </row>
    <row r="21">
      <c r="A21" s="52" t="s">
        <v>37</v>
      </c>
      <c r="B21" s="121">
        <v>200.0</v>
      </c>
      <c r="C21" s="40">
        <f t="shared" si="5"/>
        <v>100</v>
      </c>
      <c r="D21" s="2" t="b">
        <v>0</v>
      </c>
      <c r="E21" s="52" t="s">
        <v>180</v>
      </c>
      <c r="F21" s="52"/>
      <c r="H21" s="2" t="s">
        <v>720</v>
      </c>
      <c r="I21" s="8">
        <f t="shared" si="3"/>
        <v>3200</v>
      </c>
      <c r="J21" s="8">
        <f t="shared" si="4"/>
        <v>1600</v>
      </c>
      <c r="K21" s="2" t="s">
        <v>608</v>
      </c>
    </row>
    <row r="22">
      <c r="A22" s="42" t="s">
        <v>696</v>
      </c>
      <c r="B22" s="40">
        <f>CEILING(199,10)</f>
        <v>200</v>
      </c>
      <c r="C22" s="40">
        <f t="shared" si="5"/>
        <v>100</v>
      </c>
      <c r="D22" s="2" t="b">
        <v>0</v>
      </c>
      <c r="E22" s="52" t="s">
        <v>180</v>
      </c>
      <c r="F22" s="42"/>
      <c r="H22" s="2" t="s">
        <v>166</v>
      </c>
      <c r="I22" s="8">
        <f t="shared" si="3"/>
        <v>5200</v>
      </c>
      <c r="J22" s="8">
        <f t="shared" si="4"/>
        <v>2600</v>
      </c>
      <c r="K22" s="2" t="s">
        <v>241</v>
      </c>
    </row>
    <row r="23">
      <c r="A23" s="42" t="s">
        <v>727</v>
      </c>
      <c r="B23" s="40">
        <f>CEILING(109,10)</f>
        <v>110</v>
      </c>
      <c r="C23" s="40">
        <f t="shared" si="5"/>
        <v>55</v>
      </c>
      <c r="D23" s="2" t="b">
        <v>0</v>
      </c>
      <c r="E23" s="52" t="s">
        <v>180</v>
      </c>
      <c r="F23" s="42"/>
      <c r="H23" s="2" t="s">
        <v>180</v>
      </c>
      <c r="I23" s="8">
        <f t="shared" si="3"/>
        <v>5700</v>
      </c>
      <c r="J23" s="8">
        <f t="shared" si="4"/>
        <v>2900</v>
      </c>
      <c r="K23" s="2" t="s">
        <v>241</v>
      </c>
    </row>
    <row r="24">
      <c r="A24" s="42" t="s">
        <v>38</v>
      </c>
      <c r="B24" s="40">
        <f>IFERROR(__xludf.DUMMYFUNCTION("CEILING(GOOGLEFINANCE(""CURRENCY:USDMXN"")*6, 10)"),110.0)</f>
        <v>110</v>
      </c>
      <c r="C24" s="40">
        <f t="shared" si="5"/>
        <v>55</v>
      </c>
      <c r="D24" s="2" t="b">
        <v>0</v>
      </c>
      <c r="E24" s="52" t="s">
        <v>180</v>
      </c>
      <c r="F24" s="42"/>
    </row>
    <row r="25">
      <c r="A25" s="42" t="s">
        <v>39</v>
      </c>
      <c r="B25" s="40">
        <f>CEILING(899/12, 10)</f>
        <v>80</v>
      </c>
      <c r="C25" s="40">
        <f t="shared" si="5"/>
        <v>40</v>
      </c>
      <c r="D25" s="2" t="b">
        <v>1</v>
      </c>
      <c r="E25" s="52" t="s">
        <v>787</v>
      </c>
      <c r="F25" s="42"/>
      <c r="J25" s="8">
        <f>SUM(J13:J23)</f>
        <v>67900</v>
      </c>
    </row>
    <row r="26" ht="14.25" customHeight="1">
      <c r="A26" s="42" t="s">
        <v>40</v>
      </c>
      <c r="B26" s="40">
        <v>70.0</v>
      </c>
      <c r="C26" s="40">
        <f t="shared" si="5"/>
        <v>35</v>
      </c>
      <c r="D26" s="2" t="b">
        <v>0</v>
      </c>
      <c r="E26" s="52" t="s">
        <v>180</v>
      </c>
      <c r="F26" s="42"/>
    </row>
    <row r="27" ht="14.25" customHeight="1">
      <c r="A27" s="42"/>
      <c r="B27" s="42"/>
      <c r="C27" s="42"/>
      <c r="E27" s="42"/>
      <c r="F27" s="42"/>
    </row>
    <row r="28" ht="14.25" customHeight="1">
      <c r="A28" s="2" t="s">
        <v>27</v>
      </c>
      <c r="B28" s="7">
        <f t="shared" ref="B28:C28" si="6">SUM(B17:B27)</f>
        <v>2280</v>
      </c>
      <c r="C28" s="7">
        <f t="shared" si="6"/>
        <v>1140</v>
      </c>
      <c r="E28" s="42"/>
      <c r="F28" s="42"/>
      <c r="H28" s="2" t="s">
        <v>789</v>
      </c>
      <c r="J28" s="8">
        <f>J18+J19+J20</f>
        <v>11600</v>
      </c>
    </row>
    <row r="29">
      <c r="A29" s="39"/>
      <c r="B29" s="40"/>
      <c r="C29" s="40"/>
      <c r="E29" s="42"/>
      <c r="F29" s="42"/>
    </row>
    <row r="30">
      <c r="A30" s="1" t="s">
        <v>42</v>
      </c>
      <c r="C30" s="43"/>
      <c r="E30" s="29"/>
      <c r="F30" s="29"/>
    </row>
    <row r="31">
      <c r="A31" s="24" t="s">
        <v>3</v>
      </c>
      <c r="B31" s="43" t="s">
        <v>4</v>
      </c>
      <c r="C31" s="43" t="s">
        <v>5</v>
      </c>
      <c r="E31" s="29"/>
      <c r="F31" s="29"/>
      <c r="I31" s="143"/>
    </row>
    <row r="32">
      <c r="A32" s="2" t="s">
        <v>43</v>
      </c>
      <c r="B32" s="7">
        <v>1200.0</v>
      </c>
      <c r="C32" s="7">
        <f t="shared" ref="C32:C34" si="7">B32/2</f>
        <v>600</v>
      </c>
      <c r="D32" s="2" t="b">
        <v>0</v>
      </c>
      <c r="E32" s="2" t="s">
        <v>180</v>
      </c>
      <c r="I32" s="143"/>
    </row>
    <row r="33">
      <c r="A33" s="2" t="s">
        <v>46</v>
      </c>
      <c r="B33" s="7">
        <v>500.0</v>
      </c>
      <c r="C33" s="7">
        <f t="shared" si="7"/>
        <v>250</v>
      </c>
      <c r="D33" s="2" t="b">
        <v>0</v>
      </c>
      <c r="E33" s="2" t="s">
        <v>180</v>
      </c>
      <c r="I33" s="143"/>
    </row>
    <row r="34">
      <c r="A34" s="2" t="s">
        <v>47</v>
      </c>
      <c r="B34" s="7">
        <v>450.0</v>
      </c>
      <c r="C34" s="7">
        <f t="shared" si="7"/>
        <v>225</v>
      </c>
      <c r="D34" s="2" t="b">
        <v>0</v>
      </c>
      <c r="E34" s="2" t="s">
        <v>180</v>
      </c>
    </row>
    <row r="36">
      <c r="A36" s="2" t="s">
        <v>27</v>
      </c>
      <c r="B36" s="8">
        <f t="shared" ref="B36:C36" si="8">SUM(B32:B35)</f>
        <v>2150</v>
      </c>
      <c r="C36" s="8">
        <f t="shared" si="8"/>
        <v>1075</v>
      </c>
      <c r="J36" s="8">
        <f>J18+J19+J20</f>
        <v>11600</v>
      </c>
    </row>
    <row r="38">
      <c r="A38" s="1" t="s">
        <v>48</v>
      </c>
      <c r="C38" s="49"/>
      <c r="E38" s="50"/>
      <c r="F38" s="50"/>
    </row>
    <row r="39">
      <c r="A39" s="24" t="s">
        <v>3</v>
      </c>
      <c r="B39" s="43" t="s">
        <v>4</v>
      </c>
      <c r="C39" s="43" t="s">
        <v>5</v>
      </c>
      <c r="E39" s="29"/>
      <c r="F39" s="29"/>
      <c r="J39" s="51"/>
    </row>
    <row r="40">
      <c r="A40" s="2" t="s">
        <v>53</v>
      </c>
      <c r="B40" s="7">
        <v>8000.0</v>
      </c>
      <c r="C40" s="8">
        <f>B40/2</f>
        <v>4000</v>
      </c>
      <c r="D40" s="2" t="b">
        <v>0</v>
      </c>
      <c r="E40" s="2" t="s">
        <v>183</v>
      </c>
    </row>
    <row r="41">
      <c r="A41" s="2" t="s">
        <v>729</v>
      </c>
      <c r="B41" s="7">
        <v>2000.0</v>
      </c>
      <c r="C41" s="7">
        <f>B41/2</f>
        <v>1000</v>
      </c>
      <c r="D41" s="2" t="b">
        <v>0</v>
      </c>
      <c r="E41" s="2" t="s">
        <v>726</v>
      </c>
    </row>
    <row r="43">
      <c r="A43" s="2" t="s">
        <v>27</v>
      </c>
      <c r="B43" s="8">
        <f t="shared" ref="B43:C43" si="9">SUM(B40:B42)</f>
        <v>10000</v>
      </c>
      <c r="C43" s="8">
        <f t="shared" si="9"/>
        <v>5000</v>
      </c>
    </row>
    <row r="45">
      <c r="A45" s="1" t="s">
        <v>54</v>
      </c>
      <c r="J45" s="8">
        <f>IFERROR(__xludf.DUMMYFUNCTION("SUM(FILTER(J12:J23,J12:J23&lt;&gt;J12))"),67900.0)</f>
        <v>67900</v>
      </c>
    </row>
    <row r="46">
      <c r="A46" s="24" t="s">
        <v>3</v>
      </c>
      <c r="B46" s="43" t="s">
        <v>4</v>
      </c>
      <c r="C46" s="43" t="s">
        <v>5</v>
      </c>
      <c r="E46" s="29"/>
      <c r="F46" s="29"/>
    </row>
    <row r="47">
      <c r="A47" s="2" t="s">
        <v>55</v>
      </c>
      <c r="B47" s="7">
        <v>10000.0</v>
      </c>
      <c r="C47" s="7">
        <f t="shared" ref="C47:C51" si="10">B47/2</f>
        <v>5000</v>
      </c>
      <c r="D47" s="2" t="b">
        <v>0</v>
      </c>
      <c r="E47" s="2" t="s">
        <v>788</v>
      </c>
    </row>
    <row r="48">
      <c r="A48" s="2" t="s">
        <v>57</v>
      </c>
      <c r="B48" s="7">
        <v>3000.0</v>
      </c>
      <c r="C48" s="8">
        <f t="shared" si="10"/>
        <v>1500</v>
      </c>
      <c r="D48" s="2" t="b">
        <v>0</v>
      </c>
      <c r="E48" s="2" t="s">
        <v>788</v>
      </c>
    </row>
    <row r="49">
      <c r="A49" s="2" t="s">
        <v>58</v>
      </c>
      <c r="B49" s="8">
        <f>CEILING(10000/12, 100)</f>
        <v>900</v>
      </c>
      <c r="C49" s="8">
        <f t="shared" si="10"/>
        <v>450</v>
      </c>
      <c r="D49" s="2" t="b">
        <v>1</v>
      </c>
      <c r="E49" s="2" t="s">
        <v>788</v>
      </c>
    </row>
    <row r="50">
      <c r="A50" s="2" t="s">
        <v>59</v>
      </c>
      <c r="B50" s="7">
        <v>750.0</v>
      </c>
      <c r="C50" s="7">
        <f t="shared" si="10"/>
        <v>375</v>
      </c>
      <c r="D50" s="2" t="b">
        <v>0</v>
      </c>
      <c r="E50" s="2" t="s">
        <v>788</v>
      </c>
    </row>
    <row r="51">
      <c r="A51" s="2" t="s">
        <v>60</v>
      </c>
      <c r="B51" s="7">
        <v>400.0</v>
      </c>
      <c r="C51" s="8">
        <f t="shared" si="10"/>
        <v>200</v>
      </c>
      <c r="D51" s="2" t="b">
        <v>0</v>
      </c>
      <c r="E51" s="2" t="s">
        <v>788</v>
      </c>
    </row>
    <row r="52">
      <c r="A52" s="2" t="s">
        <v>62</v>
      </c>
      <c r="B52" s="8">
        <f>CEILING(2500/12, 10)</f>
        <v>210</v>
      </c>
      <c r="C52" s="7">
        <f>B52/2</f>
        <v>105</v>
      </c>
      <c r="D52" s="2" t="b">
        <v>1</v>
      </c>
      <c r="E52" s="2" t="s">
        <v>788</v>
      </c>
    </row>
    <row r="53">
      <c r="A53" s="2" t="s">
        <v>63</v>
      </c>
      <c r="B53" s="8">
        <f>CEILING((700*2)/12, 10)</f>
        <v>120</v>
      </c>
      <c r="C53" s="8">
        <f>B53/2</f>
        <v>60</v>
      </c>
      <c r="D53" s="2" t="b">
        <v>0</v>
      </c>
      <c r="E53" s="2" t="s">
        <v>788</v>
      </c>
    </row>
    <row r="55">
      <c r="A55" s="2" t="s">
        <v>27</v>
      </c>
      <c r="B55" s="8">
        <f t="shared" ref="B55:C55" si="11">SUM(B47:B54)</f>
        <v>15380</v>
      </c>
      <c r="C55" s="8">
        <f t="shared" si="11"/>
        <v>7690</v>
      </c>
    </row>
    <row r="57">
      <c r="A57" s="1" t="s">
        <v>64</v>
      </c>
    </row>
    <row r="58">
      <c r="A58" s="24" t="s">
        <v>3</v>
      </c>
      <c r="B58" s="43" t="s">
        <v>4</v>
      </c>
      <c r="C58" s="43" t="s">
        <v>5</v>
      </c>
      <c r="E58" s="29"/>
      <c r="F58" s="29"/>
    </row>
    <row r="59">
      <c r="A59" s="2" t="s">
        <v>65</v>
      </c>
      <c r="B59" s="7">
        <v>37500.0</v>
      </c>
      <c r="C59" s="7">
        <f t="shared" ref="C59:C61" si="12">B59/2</f>
        <v>18750</v>
      </c>
      <c r="D59" s="2" t="b">
        <v>0</v>
      </c>
      <c r="E59" s="2" t="s">
        <v>723</v>
      </c>
    </row>
    <row r="60">
      <c r="A60" s="2" t="s">
        <v>194</v>
      </c>
      <c r="B60" s="7">
        <v>13500.0</v>
      </c>
      <c r="C60" s="8">
        <f t="shared" si="12"/>
        <v>6750</v>
      </c>
      <c r="D60" s="2" t="b">
        <v>0</v>
      </c>
      <c r="E60" s="2" t="s">
        <v>728</v>
      </c>
    </row>
    <row r="61">
      <c r="A61" s="2" t="s">
        <v>730</v>
      </c>
      <c r="B61" s="8">
        <f>400*12</f>
        <v>4800</v>
      </c>
      <c r="C61" s="8">
        <f t="shared" si="12"/>
        <v>2400</v>
      </c>
      <c r="D61" s="2" t="b">
        <v>0</v>
      </c>
      <c r="E61" s="2" t="s">
        <v>728</v>
      </c>
    </row>
    <row r="62">
      <c r="A62" s="2" t="s">
        <v>75</v>
      </c>
      <c r="B62" s="7">
        <v>650.0</v>
      </c>
      <c r="C62" s="7">
        <f t="shared" ref="C62:C64" si="13">B62/2</f>
        <v>325</v>
      </c>
      <c r="D62" s="2" t="b">
        <v>0</v>
      </c>
      <c r="E62" s="2" t="s">
        <v>180</v>
      </c>
    </row>
    <row r="63">
      <c r="A63" s="2" t="s">
        <v>73</v>
      </c>
      <c r="B63" s="7">
        <v>500.0</v>
      </c>
      <c r="C63" s="7">
        <f t="shared" si="13"/>
        <v>250</v>
      </c>
      <c r="D63" s="2" t="b">
        <v>0</v>
      </c>
      <c r="E63" s="2" t="s">
        <v>180</v>
      </c>
    </row>
    <row r="64">
      <c r="A64" s="2" t="s">
        <v>77</v>
      </c>
      <c r="B64" s="7">
        <f>(600+111)/2</f>
        <v>355.5</v>
      </c>
      <c r="C64" s="7">
        <f t="shared" si="13"/>
        <v>177.75</v>
      </c>
      <c r="D64" s="2" t="b">
        <v>0</v>
      </c>
      <c r="E64" s="2" t="s">
        <v>180</v>
      </c>
    </row>
    <row r="65">
      <c r="A65" s="5" t="s">
        <v>714</v>
      </c>
      <c r="B65" s="7"/>
      <c r="C65" s="7"/>
    </row>
    <row r="66">
      <c r="A66" s="2" t="s">
        <v>82</v>
      </c>
      <c r="B66" s="7">
        <v>5000.0</v>
      </c>
      <c r="C66" s="7">
        <f t="shared" ref="C66:C68" si="14">B66/2</f>
        <v>2500</v>
      </c>
      <c r="D66" s="2" t="b">
        <v>0</v>
      </c>
      <c r="E66" s="2" t="s">
        <v>166</v>
      </c>
    </row>
    <row r="67">
      <c r="A67" s="2" t="s">
        <v>715</v>
      </c>
      <c r="B67" s="7">
        <v>1800.0</v>
      </c>
      <c r="C67" s="7">
        <f t="shared" si="14"/>
        <v>900</v>
      </c>
      <c r="D67" s="2" t="b">
        <v>0</v>
      </c>
      <c r="E67" s="2" t="s">
        <v>169</v>
      </c>
    </row>
    <row r="68">
      <c r="A68" s="2" t="s">
        <v>716</v>
      </c>
      <c r="B68" s="7">
        <v>200.0</v>
      </c>
      <c r="C68" s="7">
        <f t="shared" si="14"/>
        <v>100</v>
      </c>
      <c r="D68" s="2" t="b">
        <v>1</v>
      </c>
      <c r="E68" s="2" t="s">
        <v>166</v>
      </c>
    </row>
    <row r="70">
      <c r="A70" s="2" t="s">
        <v>27</v>
      </c>
      <c r="B70" s="8">
        <f t="shared" ref="B70:C70" si="15">SUM(B59:B69)</f>
        <v>64305.5</v>
      </c>
      <c r="C70" s="8">
        <f t="shared" si="15"/>
        <v>32152.75</v>
      </c>
    </row>
    <row r="72">
      <c r="A72" s="1" t="s">
        <v>83</v>
      </c>
    </row>
    <row r="73">
      <c r="A73" s="2" t="s">
        <v>30</v>
      </c>
      <c r="B73" s="7">
        <v>3600.0</v>
      </c>
      <c r="C73" s="8">
        <f t="shared" ref="C73:C76" si="16">B73/2</f>
        <v>1800</v>
      </c>
      <c r="D73" s="2" t="b">
        <v>0</v>
      </c>
      <c r="E73" s="2" t="s">
        <v>786</v>
      </c>
    </row>
    <row r="74">
      <c r="A74" s="2" t="s">
        <v>84</v>
      </c>
      <c r="B74" s="7">
        <v>6500.0</v>
      </c>
      <c r="C74" s="8">
        <f t="shared" si="16"/>
        <v>3250</v>
      </c>
      <c r="D74" s="2" t="b">
        <v>0</v>
      </c>
      <c r="E74" s="2" t="s">
        <v>728</v>
      </c>
    </row>
    <row r="75">
      <c r="A75" s="2" t="s">
        <v>85</v>
      </c>
      <c r="B75" s="7">
        <v>4000.0</v>
      </c>
      <c r="C75" s="8">
        <f t="shared" si="16"/>
        <v>2000</v>
      </c>
      <c r="D75" s="2" t="b">
        <v>0</v>
      </c>
      <c r="E75" s="2" t="s">
        <v>728</v>
      </c>
    </row>
    <row r="76">
      <c r="A76" s="2" t="s">
        <v>86</v>
      </c>
      <c r="B76" s="7">
        <v>2000.0</v>
      </c>
      <c r="C76" s="8">
        <f t="shared" si="16"/>
        <v>1000</v>
      </c>
      <c r="D76" s="2" t="b">
        <v>0</v>
      </c>
      <c r="E76" s="2" t="s">
        <v>720</v>
      </c>
    </row>
    <row r="77">
      <c r="A77" s="2"/>
      <c r="B77" s="7"/>
      <c r="C77" s="8"/>
    </row>
    <row r="78">
      <c r="A78" s="2" t="s">
        <v>27</v>
      </c>
      <c r="B78" s="8">
        <f t="shared" ref="B78:C78" si="17">SUM(B73:B76)</f>
        <v>16100</v>
      </c>
      <c r="C78" s="8">
        <f t="shared" si="17"/>
        <v>8050</v>
      </c>
    </row>
  </sheetData>
  <mergeCells count="7">
    <mergeCell ref="A1:B1"/>
    <mergeCell ref="A15:B15"/>
    <mergeCell ref="A30:B30"/>
    <mergeCell ref="A38:B38"/>
    <mergeCell ref="A45:B45"/>
    <mergeCell ref="A57:B57"/>
    <mergeCell ref="A72:B72"/>
  </mergeCells>
  <dataValidations>
    <dataValidation type="list" allowBlank="1" showErrorMessage="1" sqref="E3:E11 H13:H23 E17:E26 E32:E34 E40:E41 E47:E53 E59:E64 E66:E68 E73:E76">
      <formula1>Cuentas!$A$2:$A$19</formula1>
    </dataValidation>
  </dataValidations>
  <drawing r:id="rId1"/>
</worksheet>
</file>